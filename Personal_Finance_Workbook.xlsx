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Income" sheetId="2" state="visible" r:id="rId2"/>
    <sheet name="Expenses" sheetId="3" state="visible" r:id="rId3"/>
    <sheet name="Debt Tracker" sheetId="4" state="visible" r:id="rId4"/>
    <sheet name="Home Loan Calc" sheetId="5" state="visible" r:id="rId5"/>
    <sheet name="Vehicle Loan Calc" sheetId="6" state="visible" r:id="rId6"/>
    <sheet name="Savings Tracker" sheetId="7" state="visible" r:id="rId7"/>
    <sheet name="Investments" sheetId="8" state="visible" r:id="rId8"/>
    <sheet name="Emergency Fund" sheetId="9" state="visible" r:id="rId9"/>
    <sheet name="Settings" sheetId="10" state="visible" r:id="rId10"/>
  </sheets>
  <definedNames>
    <definedName name="PrimeRate">Settings!$C$4</definedName>
    <definedName name="HomeLoanMargin">Settings!$C$5</definedName>
    <definedName name="VehicleLoanMargin">Settings!$C$6</definedName>
    <definedName name="EffectiveHomeLoanRate">Settings!$C$8</definedName>
    <definedName name="EffectiveVehicleLoanRate">Settings!$C$9</definedName>
    <definedName name="EmergencyFundMonths">Settings!$C$11</definedName>
    <definedName name="TotalHouseholdIncome">Income!$D$60</definedName>
    <definedName name="TotalExpenses">Expenses!$B$124</definedName>
    <definedName name="TotalEssentialExpenses">Expenses!$B$126</definedName>
    <definedName name="TotalDebtOutstanding">'Debt Tracker'!$E$26</definedName>
    <definedName name="TotalMonthlyDebtPayment">'Debt Tracker'!$I$26</definedName>
    <definedName name="TotalSavings">'Savings Tracker'!$C$26</definedName>
    <definedName name="TotalInvestments">Investments!$D$26</definedName>
    <definedName name="CurrentEmergencySavings">'Emergency Fund'!$C$11</definedName>
  </definedNames>
  <calcPr calcId="124519" fullCalcOnLoad="1"/>
</workbook>
</file>

<file path=xl/styles.xml><?xml version="1.0" encoding="utf-8"?>
<styleSheet xmlns="http://schemas.openxmlformats.org/spreadsheetml/2006/main">
  <numFmts count="3">
    <numFmt numFmtId="164" formatCode="N$#,##0.00"/>
    <numFmt numFmtId="165" formatCode="YYYY-MM-DD"/>
    <numFmt numFmtId="166" formatCode="yyyy-mm-dd"/>
  </numFmts>
  <fonts count="15">
    <font>
      <name val="Calibri"/>
      <family val="2"/>
      <color theme="1"/>
      <sz val="11"/>
      <scheme val="minor"/>
    </font>
    <font>
      <name val="Calibri"/>
      <b val="1"/>
      <color rgb="001F4E79"/>
      <sz val="16"/>
    </font>
    <font>
      <name val="Calibri"/>
      <i val="1"/>
      <color rgb="00666666"/>
      <sz val="10"/>
    </font>
    <font>
      <name val="Calibri"/>
      <b val="1"/>
      <color rgb="00333333"/>
      <sz val="11"/>
    </font>
    <font>
      <name val="Calibri"/>
      <color rgb="00333333"/>
      <sz val="11"/>
    </font>
    <font>
      <name val="Calibri"/>
      <b val="1"/>
      <color rgb="001F4E79"/>
      <sz val="11"/>
    </font>
    <font>
      <name val="Calibri"/>
      <b val="1"/>
      <color rgb="00FFFFFF"/>
      <sz val="11"/>
    </font>
    <font>
      <name val="Calibri"/>
      <b val="1"/>
      <color rgb="00C62828"/>
      <sz val="11"/>
    </font>
    <font>
      <name val="Calibri"/>
      <b val="1"/>
      <color rgb="00E65100"/>
      <sz val="11"/>
    </font>
    <font>
      <name val="Calibri"/>
      <b val="1"/>
      <color rgb="001F4E79"/>
      <sz val="14"/>
    </font>
    <font>
      <name val="Calibri"/>
      <b val="1"/>
      <color rgb="001565C0"/>
      <sz val="11"/>
    </font>
    <font>
      <name val="Calibri"/>
      <b val="1"/>
      <color rgb="006A1B9A"/>
      <sz val="11"/>
    </font>
    <font>
      <name val="Calibri"/>
      <b val="1"/>
      <sz val="14"/>
    </font>
    <font>
      <name val="Calibri"/>
      <color rgb="00555555"/>
      <sz val="10"/>
    </font>
    <font>
      <name val="Calibri"/>
      <b val="1"/>
      <color rgb="000D47A1"/>
      <sz val="18"/>
    </font>
  </fonts>
  <fills count="6">
    <fill>
      <patternFill/>
    </fill>
    <fill>
      <patternFill patternType="gray125"/>
    </fill>
    <fill>
      <patternFill patternType="solid">
        <fgColor rgb="00FFFFCC"/>
        <bgColor rgb="00FFFFCC"/>
      </patternFill>
    </fill>
    <fill>
      <patternFill patternType="solid">
        <fgColor rgb="00E8F0FE"/>
        <bgColor rgb="00E8F0FE"/>
      </patternFill>
    </fill>
    <fill>
      <patternFill patternType="solid">
        <fgColor rgb="001F4E79"/>
        <bgColor rgb="001F4E79"/>
      </patternFill>
    </fill>
    <fill>
      <patternFill patternType="solid">
        <fgColor rgb="00EBF5FB"/>
        <bgColor rgb="00EBF5FB"/>
      </patternFill>
    </fill>
  </fills>
  <borders count="5">
    <border>
      <left/>
      <right/>
      <top/>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style="thin">
        <color rgb="00B0B0B0"/>
      </right>
      <top style="thin">
        <color rgb="00B0B0B0"/>
      </top>
      <bottom style="thin">
        <color rgb="00B0B0B0"/>
      </bottom>
      <diagonal/>
    </border>
  </borders>
  <cellStyleXfs count="1">
    <xf numFmtId="0" fontId="0" fillId="0" borderId="0"/>
  </cellStyleXfs>
  <cellXfs count="39">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13" fillId="5" borderId="1" applyAlignment="1" pivotButton="0" quotePrefix="0" xfId="0">
      <alignment horizontal="left" vertical="center" wrapText="1"/>
    </xf>
    <xf numFmtId="0" fontId="0" fillId="5" borderId="1" pivotButton="0" quotePrefix="0" xfId="0"/>
    <xf numFmtId="164" fontId="9" fillId="5" borderId="1" applyAlignment="1" pivotButton="0" quotePrefix="0" xfId="0">
      <alignment horizontal="center" vertical="center"/>
    </xf>
    <xf numFmtId="0" fontId="0" fillId="0" borderId="4" pivotButton="0" quotePrefix="0" xfId="0"/>
    <xf numFmtId="10" fontId="9" fillId="5" borderId="1" applyAlignment="1" pivotButton="0" quotePrefix="0" xfId="0">
      <alignment horizontal="center" vertical="center"/>
    </xf>
    <xf numFmtId="0" fontId="5" fillId="0" borderId="1" pivotButton="0" quotePrefix="0" xfId="0"/>
    <xf numFmtId="0" fontId="13" fillId="0" borderId="1" pivotButton="0" quotePrefix="0" xfId="0"/>
    <xf numFmtId="164" fontId="14" fillId="5" borderId="1" applyAlignment="1" pivotButton="0" quotePrefix="0" xfId="0">
      <alignment horizontal="center" vertical="center"/>
    </xf>
    <xf numFmtId="0" fontId="5" fillId="0" borderId="0" pivotButton="0" quotePrefix="0" xfId="0"/>
    <xf numFmtId="164" fontId="0" fillId="0" borderId="0" pivotButton="0" quotePrefix="0" xfId="0"/>
    <xf numFmtId="0" fontId="6" fillId="4" borderId="1" pivotButton="0" quotePrefix="0" xfId="0"/>
    <xf numFmtId="0" fontId="0" fillId="0" borderId="1" applyAlignment="1" pivotButton="0" quotePrefix="0" xfId="0">
      <alignment horizontal="center" vertical="center" wrapText="1"/>
    </xf>
    <xf numFmtId="164" fontId="4" fillId="2" borderId="1" applyAlignment="1" applyProtection="1" pivotButton="0" quotePrefix="0" xfId="0">
      <alignment horizontal="center" vertical="center" wrapText="1"/>
      <protection locked="0" hidden="0"/>
    </xf>
    <xf numFmtId="0" fontId="6" fillId="4" borderId="1" applyAlignment="1" pivotButton="0" quotePrefix="0" xfId="0">
      <alignment horizontal="center" vertical="center" wrapText="1"/>
    </xf>
    <xf numFmtId="0" fontId="4" fillId="2" borderId="1" applyAlignment="1" applyProtection="1" pivotButton="0" quotePrefix="0" xfId="0">
      <alignment horizontal="center" vertical="center" wrapText="1"/>
      <protection locked="0" hidden="0"/>
    </xf>
    <xf numFmtId="165" fontId="4" fillId="2" borderId="1" applyAlignment="1" applyProtection="1" pivotButton="0" quotePrefix="0" xfId="0">
      <alignment horizontal="center" vertical="center" wrapText="1"/>
      <protection locked="0" hidden="0"/>
    </xf>
    <xf numFmtId="0" fontId="3" fillId="0" borderId="1" applyAlignment="1" pivotButton="0" quotePrefix="0" xfId="0">
      <alignment horizontal="left" vertical="center" wrapText="1"/>
    </xf>
    <xf numFmtId="164" fontId="4" fillId="3" borderId="1" applyAlignment="1" pivotButton="0" quotePrefix="0" xfId="0">
      <alignment horizontal="center" vertical="center" wrapText="1"/>
    </xf>
    <xf numFmtId="0" fontId="4" fillId="0" borderId="1" applyAlignment="1" pivotButton="0" quotePrefix="0" xfId="0">
      <alignment horizontal="left" vertical="center" wrapText="1"/>
    </xf>
    <xf numFmtId="10" fontId="4" fillId="3" borderId="1" applyAlignment="1" pivotButton="0" quotePrefix="0" xfId="0">
      <alignment horizontal="center" vertical="center" wrapText="1"/>
    </xf>
    <xf numFmtId="0" fontId="3" fillId="0" borderId="1" pivotButton="0" quotePrefix="0" xfId="0"/>
    <xf numFmtId="164" fontId="7" fillId="3" borderId="1" applyAlignment="1" pivotButton="0" quotePrefix="0" xfId="0">
      <alignment horizontal="center" vertical="center" wrapText="1"/>
    </xf>
    <xf numFmtId="10" fontId="4" fillId="2" borderId="1" applyAlignment="1" applyProtection="1" pivotButton="0" quotePrefix="0" xfId="0">
      <alignment horizontal="center" vertical="center" wrapText="1"/>
      <protection locked="0" hidden="0"/>
    </xf>
    <xf numFmtId="164" fontId="8" fillId="3" borderId="1" applyAlignment="1" pivotButton="0" quotePrefix="0" xfId="0">
      <alignment horizontal="center" vertical="center" wrapText="1"/>
    </xf>
    <xf numFmtId="0" fontId="2" fillId="0" borderId="0" pivotButton="0" quotePrefix="0" xfId="0"/>
    <xf numFmtId="3" fontId="4" fillId="2" borderId="1" applyAlignment="1" applyProtection="1" pivotButton="0" quotePrefix="0" xfId="0">
      <alignment horizontal="center" vertical="center" wrapText="1"/>
      <protection locked="0" hidden="0"/>
    </xf>
    <xf numFmtId="164" fontId="9" fillId="3" borderId="1" applyAlignment="1" pivotButton="0" quotePrefix="0" xfId="0">
      <alignment horizontal="center" vertical="center" wrapText="1"/>
    </xf>
    <xf numFmtId="3" fontId="4" fillId="3" borderId="1" applyAlignment="1" pivotButton="0" quotePrefix="0" xfId="0">
      <alignment horizontal="center" vertical="center" wrapText="1"/>
    </xf>
    <xf numFmtId="0" fontId="4" fillId="3" borderId="1" applyAlignment="1" pivotButton="0" quotePrefix="0" xfId="0">
      <alignment horizontal="center" vertical="center" wrapText="1"/>
    </xf>
    <xf numFmtId="164" fontId="10" fillId="3" borderId="1" applyAlignment="1" pivotButton="0" quotePrefix="0" xfId="0">
      <alignment horizontal="center" vertical="center" wrapText="1"/>
    </xf>
    <xf numFmtId="0" fontId="0" fillId="2" borderId="1" applyProtection="1" pivotButton="0" quotePrefix="0" xfId="0">
      <protection locked="0" hidden="0"/>
    </xf>
    <xf numFmtId="164" fontId="11" fillId="3" borderId="1" applyAlignment="1" pivotButton="0" quotePrefix="0" xfId="0">
      <alignment horizontal="center" vertical="center" wrapText="1"/>
    </xf>
    <xf numFmtId="0" fontId="12" fillId="3" borderId="1" applyAlignment="1" pivotButton="0" quotePrefix="0" xfId="0">
      <alignment horizontal="center" vertical="center" wrapText="1"/>
    </xf>
    <xf numFmtId="0" fontId="4" fillId="0" borderId="1" pivotButton="0" quotePrefix="0" xfId="0"/>
    <xf numFmtId="0" fontId="4" fillId="2" borderId="1" pivotButton="0" quotePrefix="0" xfId="0"/>
    <xf numFmtId="0" fontId="4" fillId="3" borderId="1" pivotButton="0" quotePrefix="0" xfId="0"/>
  </cellXfs>
  <cellStyles count="1">
    <cellStyle name="Normal" xfId="0" builtinId="0" hidden="0"/>
  </cellStyles>
  <dxfs count="6">
    <dxf>
      <fill>
        <patternFill patternType="solid">
          <fgColor rgb="00C6EFCE"/>
          <bgColor rgb="00C6EFCE"/>
        </patternFill>
      </fill>
    </dxf>
    <dxf>
      <fill>
        <patternFill patternType="solid">
          <fgColor rgb="00FFC7CE"/>
          <bgColor rgb="00FFC7CE"/>
        </patternFill>
      </fill>
    </dxf>
    <dxf>
      <font>
        <color rgb="009C0006"/>
      </font>
      <fill>
        <patternFill patternType="solid">
          <fgColor rgb="00FFC7CE"/>
          <bgColor rgb="00FFC7CE"/>
        </patternFill>
      </fill>
    </dxf>
    <dxf>
      <font>
        <b val="1"/>
        <color rgb="00006100"/>
        <sz val="14"/>
      </font>
      <fill>
        <patternFill patternType="solid">
          <fgColor rgb="00C6EFCE"/>
          <bgColor rgb="00C6EFCE"/>
        </patternFill>
      </fill>
    </dxf>
    <dxf>
      <font>
        <b val="1"/>
        <color rgb="009C6500"/>
        <sz val="14"/>
      </font>
      <fill>
        <patternFill patternType="solid">
          <fgColor rgb="00FFEB9C"/>
          <bgColor rgb="00FFEB9C"/>
        </patternFill>
      </fill>
    </dxf>
    <dxf>
      <font>
        <b val="1"/>
        <color rgb="009C0006"/>
        <sz val="14"/>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10"/>
  <chart>
    <title>
      <tx>
        <rich>
          <a:bodyPr/>
          <a:p>
            <a:pPr>
              <a:defRPr/>
            </a:pPr>
            <a:r>
              <a:t>Expense Breakdown by Category</a:t>
            </a:r>
          </a:p>
        </rich>
      </tx>
    </title>
    <plotArea>
      <pieChart>
        <varyColors val="1"/>
        <ser>
          <idx val="0"/>
          <order val="0"/>
          <spPr>
            <a:ln>
              <a:prstDash val="solid"/>
            </a:ln>
          </spPr>
          <cat>
            <numRef>
              <f>'Expenses'!$A$109:$A$123</f>
            </numRef>
          </cat>
          <val>
            <numRef>
              <f>'Expenses'!$B$109:$B$123</f>
            </numRef>
          </val>
        </ser>
        <dLbls>
          <showVal val="0"/>
          <showCatName val="1"/>
          <showPercent val="1"/>
        </dLbls>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Income vs Expenses</a:t>
            </a:r>
          </a:p>
        </rich>
      </tx>
    </title>
    <plotArea>
      <barChart>
        <barDir val="col"/>
        <grouping val="clustered"/>
        <ser>
          <idx val="0"/>
          <order val="0"/>
          <tx>
            <strRef>
              <f>'Dashboard'!C40</f>
            </strRef>
          </tx>
          <spPr>
            <a:ln>
              <a:prstDash val="solid"/>
            </a:ln>
          </spPr>
          <cat>
            <numRef>
              <f>'Dashboard'!$B$41:$B$45</f>
            </numRef>
          </cat>
          <val>
            <numRef>
              <f>'Dashboard'!$C$41:$C$45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(N$)</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Net Worth / Income / Expenses Trend</a:t>
            </a:r>
          </a:p>
        </rich>
      </tx>
    </title>
    <plotArea>
      <lineChart>
        <grouping val="standard"/>
        <ser>
          <idx val="0"/>
          <order val="0"/>
          <tx>
            <strRef>
              <f>'Dashboard'!C49</f>
            </strRef>
          </tx>
          <spPr>
            <a:ln w="25000">
              <a:prstDash val="solid"/>
            </a:ln>
          </spPr>
          <marker>
            <symbol val="none"/>
            <spPr>
              <a:ln>
                <a:prstDash val="solid"/>
              </a:ln>
            </spPr>
          </marker>
          <cat>
            <numRef>
              <f>'Dashboard'!$B$50:$B$61</f>
            </numRef>
          </cat>
          <val>
            <numRef>
              <f>'Dashboard'!$C$50:$C$61</f>
            </numRef>
          </val>
        </ser>
        <ser>
          <idx val="1"/>
          <order val="1"/>
          <tx>
            <strRef>
              <f>'Dashboard'!D49</f>
            </strRef>
          </tx>
          <spPr>
            <a:ln>
              <a:prstDash val="dash"/>
            </a:ln>
          </spPr>
          <marker>
            <symbol val="none"/>
            <spPr>
              <a:ln>
                <a:prstDash val="solid"/>
              </a:ln>
            </spPr>
          </marker>
          <cat>
            <numRef>
              <f>'Dashboard'!$B$50:$B$61</f>
            </numRef>
          </cat>
          <val>
            <numRef>
              <f>'Dashboard'!$D$50:$D$61</f>
            </numRef>
          </val>
        </ser>
        <ser>
          <idx val="2"/>
          <order val="2"/>
          <tx>
            <strRef>
              <f>'Dashboard'!E49</f>
            </strRef>
          </tx>
          <spPr>
            <a:ln>
              <a:prstDash val="dot"/>
            </a:ln>
          </spPr>
          <marker>
            <symbol val="none"/>
            <spPr>
              <a:ln>
                <a:prstDash val="solid"/>
              </a:ln>
            </spPr>
          </marker>
          <cat>
            <numRef>
              <f>'Dashboard'!$B$50:$B$61</f>
            </numRef>
          </cat>
          <val>
            <numRef>
              <f>'Dashboard'!$E$50:$E$61</f>
            </numRef>
          </val>
        </ser>
        <axId val="10"/>
        <axId val="100"/>
      </lineChart>
      <catAx>
        <axId val="10"/>
        <scaling>
          <orientation val="minMax"/>
        </scaling>
        <axPos val="l"/>
        <title>
          <tx>
            <rich>
              <a:bodyPr/>
              <a:p>
                <a:pPr>
                  <a:defRPr/>
                </a:pPr>
                <a:r>
                  <a:t>Month</a:t>
                </a:r>
              </a:p>
            </rich>
          </tx>
        </title>
        <majorTickMark val="none"/>
        <minorTickMark val="none"/>
        <crossAx val="100"/>
        <lblOffset val="100"/>
      </catAx>
      <valAx>
        <axId val="100"/>
        <scaling>
          <orientation val="minMax"/>
        </scaling>
        <axPos val="l"/>
        <majorGridlines/>
        <title>
          <tx>
            <rich>
              <a:bodyPr/>
              <a:p>
                <a:pPr>
                  <a:defRPr/>
                </a:pPr>
                <a:r>
                  <a:t>Amount (N$)</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17</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17</row>
      <rowOff>0</rowOff>
    </from>
    <ext cx="5040000" cy="432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34</row>
      <rowOff>0</rowOff>
    </from>
    <ext cx="7920000" cy="432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0D47A1"/>
    <outlinePr summaryBelow="1" summaryRight="1"/>
    <pageSetUpPr/>
  </sheetPr>
  <dimension ref="A1:J61"/>
  <sheetViews>
    <sheetView workbookViewId="0">
      <selection activeCell="A1" sqref="A1"/>
    </sheetView>
  </sheetViews>
  <sheetFormatPr baseColWidth="8" defaultRowHeight="15"/>
  <cols>
    <col width="3" customWidth="1" min="1" max="1"/>
    <col width="28" customWidth="1" min="2" max="2"/>
    <col width="22" customWidth="1" min="3" max="3"/>
    <col width="3" customWidth="1" min="4" max="4"/>
    <col width="28" customWidth="1" min="5" max="5"/>
    <col width="22" customWidth="1" min="6" max="6"/>
    <col width="3" customWidth="1" min="7" max="7"/>
    <col width="28" customWidth="1" min="8" max="8"/>
    <col width="22" customWidth="1" min="9" max="9"/>
    <col width="3" customWidth="1" min="10" max="10"/>
  </cols>
  <sheetData>
    <row r="1" ht="30" customHeight="1">
      <c r="A1" s="1" t="inlineStr">
        <is>
          <t>Personal Finance Dashboard</t>
        </is>
      </c>
    </row>
    <row r="2" ht="20" customHeight="1">
      <c r="A2" s="2" t="inlineStr">
        <is>
          <t>This dashboard updates automatically from all other sheets. No input needed here.</t>
        </is>
      </c>
    </row>
    <row r="4">
      <c r="B4" s="3" t="inlineStr">
        <is>
          <t>Total Monthly Income</t>
        </is>
      </c>
      <c r="C4" s="4" t="n"/>
      <c r="E4" s="3" t="inlineStr">
        <is>
          <t>Total Monthly Expenses</t>
        </is>
      </c>
      <c r="F4" s="4" t="n"/>
      <c r="H4" s="3" t="inlineStr">
        <is>
          <t>Net Cash Flow</t>
        </is>
      </c>
      <c r="I4" s="4" t="n"/>
    </row>
    <row r="5">
      <c r="B5" s="5">
        <f>TotalHouseholdIncome</f>
        <v/>
      </c>
      <c r="C5" s="6" t="n"/>
      <c r="E5" s="5">
        <f>TotalExpenses</f>
        <v/>
      </c>
      <c r="F5" s="6" t="n"/>
      <c r="H5" s="5">
        <f>TotalHouseholdIncome-TotalExpenses</f>
        <v/>
      </c>
      <c r="I5" s="6" t="n"/>
    </row>
    <row r="7">
      <c r="B7" s="3" t="inlineStr">
        <is>
          <t>Total Debt Outstanding</t>
        </is>
      </c>
      <c r="C7" s="4" t="n"/>
      <c r="E7" s="3" t="inlineStr">
        <is>
          <t>Total Savings</t>
        </is>
      </c>
      <c r="F7" s="4" t="n"/>
      <c r="H7" s="3" t="inlineStr">
        <is>
          <t>Total Investments</t>
        </is>
      </c>
      <c r="I7" s="4" t="n"/>
    </row>
    <row r="8">
      <c r="B8" s="5">
        <f>TotalDebtOutstanding</f>
        <v/>
      </c>
      <c r="C8" s="6" t="n"/>
      <c r="E8" s="5">
        <f>TotalSavings</f>
        <v/>
      </c>
      <c r="F8" s="6" t="n"/>
      <c r="H8" s="5">
        <f>TotalInvestments</f>
        <v/>
      </c>
      <c r="I8" s="6" t="n"/>
    </row>
    <row r="10">
      <c r="B10" s="3" t="inlineStr">
        <is>
          <t>Emergency Fund Status</t>
        </is>
      </c>
      <c r="C10" s="4" t="n"/>
      <c r="E10" s="3" t="inlineStr">
        <is>
          <t>Savings Rate</t>
        </is>
      </c>
      <c r="F10" s="4" t="n"/>
      <c r="H10" s="3" t="inlineStr">
        <is>
          <t>Debt-to-Income Ratio</t>
        </is>
      </c>
      <c r="I10" s="4" t="n"/>
    </row>
    <row r="11">
      <c r="B11" s="7">
        <f>'Emergency Fund'!C13</f>
        <v/>
      </c>
      <c r="C11" s="6" t="n"/>
      <c r="E11" s="7">
        <f>IF(TotalHouseholdIncome=0,0,(TotalHouseholdIncome-TotalExpenses)/TotalHouseholdIncome)</f>
        <v/>
      </c>
      <c r="F11" s="6" t="n"/>
      <c r="H11" s="7">
        <f>'Debt Tracker'!B28</f>
        <v/>
      </c>
      <c r="I11" s="6" t="n"/>
    </row>
    <row r="13">
      <c r="B13" s="8" t="inlineStr">
        <is>
          <t>NET WORTH</t>
        </is>
      </c>
      <c r="E13" s="9" t="inlineStr">
        <is>
          <t>Assets - Liabilities</t>
        </is>
      </c>
    </row>
    <row r="14">
      <c r="B14" s="10">
        <f>TotalSavings+TotalInvestments-TotalDebtOutstanding</f>
        <v/>
      </c>
    </row>
    <row r="16">
      <c r="B16" s="11" t="inlineStr">
        <is>
          <t>MONTHLY BUDGET vs ACTUAL (Top Categories)</t>
        </is>
      </c>
    </row>
    <row r="40">
      <c r="B40" t="inlineStr">
        <is>
          <t>Category</t>
        </is>
      </c>
      <c r="C40" t="inlineStr">
        <is>
          <t>Amount</t>
        </is>
      </c>
    </row>
    <row r="41">
      <c r="B41" t="inlineStr">
        <is>
          <t>Income</t>
        </is>
      </c>
      <c r="C41" s="12">
        <f>TotalHouseholdIncome</f>
        <v/>
      </c>
    </row>
    <row r="42">
      <c r="B42" t="inlineStr">
        <is>
          <t>Expenses</t>
        </is>
      </c>
      <c r="C42" s="12">
        <f>TotalExpenses</f>
        <v/>
      </c>
    </row>
    <row r="43">
      <c r="B43" t="inlineStr">
        <is>
          <t>Net Cash Flow</t>
        </is>
      </c>
      <c r="C43" s="12">
        <f>TotalHouseholdIncome-TotalExpenses</f>
        <v/>
      </c>
    </row>
    <row r="44">
      <c r="B44" t="inlineStr">
        <is>
          <t>Debt Payments</t>
        </is>
      </c>
      <c r="C44" s="12">
        <f>TotalMonthlyDebtPayment</f>
        <v/>
      </c>
    </row>
    <row r="45">
      <c r="B45" t="inlineStr">
        <is>
          <t>Savings</t>
        </is>
      </c>
      <c r="C45" s="12">
        <f>TotalSavings</f>
        <v/>
      </c>
    </row>
    <row r="48">
      <c r="B48" s="11" t="inlineStr">
        <is>
          <t>NET WORTH TREND (Monthly Tracking)</t>
        </is>
      </c>
    </row>
    <row r="49">
      <c r="B49" s="13" t="inlineStr">
        <is>
          <t>Month</t>
        </is>
      </c>
      <c r="C49" s="13" t="inlineStr">
        <is>
          <t>Net Worth</t>
        </is>
      </c>
      <c r="D49" s="13" t="inlineStr">
        <is>
          <t>Income</t>
        </is>
      </c>
      <c r="E49" s="13" t="inlineStr">
        <is>
          <t>Expenses</t>
        </is>
      </c>
    </row>
    <row r="50">
      <c r="B50" s="14" t="inlineStr">
        <is>
          <t>Jan</t>
        </is>
      </c>
      <c r="C50" s="15" t="n"/>
      <c r="D50" s="15" t="n"/>
      <c r="E50" s="15" t="n"/>
    </row>
    <row r="51">
      <c r="B51" s="14" t="inlineStr">
        <is>
          <t>Feb</t>
        </is>
      </c>
      <c r="C51" s="15" t="n"/>
      <c r="D51" s="15" t="n"/>
      <c r="E51" s="15" t="n"/>
    </row>
    <row r="52">
      <c r="B52" s="14" t="inlineStr">
        <is>
          <t>Mar</t>
        </is>
      </c>
      <c r="C52" s="15" t="n"/>
      <c r="D52" s="15" t="n"/>
      <c r="E52" s="15" t="n"/>
    </row>
    <row r="53">
      <c r="B53" s="14" t="inlineStr">
        <is>
          <t>Apr</t>
        </is>
      </c>
      <c r="C53" s="15" t="n"/>
      <c r="D53" s="15" t="n"/>
      <c r="E53" s="15" t="n"/>
    </row>
    <row r="54">
      <c r="B54" s="14" t="inlineStr">
        <is>
          <t>May</t>
        </is>
      </c>
      <c r="C54" s="15" t="n"/>
      <c r="D54" s="15" t="n"/>
      <c r="E54" s="15" t="n"/>
    </row>
    <row r="55">
      <c r="B55" s="14" t="inlineStr">
        <is>
          <t>Jun</t>
        </is>
      </c>
      <c r="C55" s="15" t="n"/>
      <c r="D55" s="15" t="n"/>
      <c r="E55" s="15" t="n"/>
    </row>
    <row r="56">
      <c r="B56" s="14" t="inlineStr">
        <is>
          <t>Jul</t>
        </is>
      </c>
      <c r="C56" s="15" t="n"/>
      <c r="D56" s="15" t="n"/>
      <c r="E56" s="15" t="n"/>
    </row>
    <row r="57">
      <c r="B57" s="14" t="inlineStr">
        <is>
          <t>Aug</t>
        </is>
      </c>
      <c r="C57" s="15" t="n"/>
      <c r="D57" s="15" t="n"/>
      <c r="E57" s="15" t="n"/>
    </row>
    <row r="58">
      <c r="B58" s="14" t="inlineStr">
        <is>
          <t>Sep</t>
        </is>
      </c>
      <c r="C58" s="15" t="n"/>
      <c r="D58" s="15" t="n"/>
      <c r="E58" s="15" t="n"/>
    </row>
    <row r="59">
      <c r="B59" s="14" t="inlineStr">
        <is>
          <t>Oct</t>
        </is>
      </c>
      <c r="C59" s="15" t="n"/>
      <c r="D59" s="15" t="n"/>
      <c r="E59" s="15" t="n"/>
    </row>
    <row r="60">
      <c r="B60" s="14" t="inlineStr">
        <is>
          <t>Nov</t>
        </is>
      </c>
      <c r="C60" s="15" t="n"/>
      <c r="D60" s="15" t="n"/>
      <c r="E60" s="15" t="n"/>
    </row>
    <row r="61">
      <c r="B61" s="14" t="inlineStr">
        <is>
          <t>Dec</t>
        </is>
      </c>
      <c r="C61" s="15" t="n"/>
      <c r="D61" s="15" t="n"/>
      <c r="E61" s="15" t="n"/>
    </row>
  </sheetData>
  <sheetProtection selectLockedCells="0" selectUnlockedCells="0" sheet="1" objects="0" insertRows="1" insertHyperlinks="1" autoFilter="1" scenarios="0" formatColumns="1" deleteColumns="1" insertColumns="1" pivotTables="1" deleteRows="1" formatCells="1" formatRows="1" sort="1" password="CE4B"/>
  <mergeCells count="15">
    <mergeCell ref="B13:C13"/>
    <mergeCell ref="A1:J1"/>
    <mergeCell ref="H8:I8"/>
    <mergeCell ref="H11:I11"/>
    <mergeCell ref="B11:C11"/>
    <mergeCell ref="B16:F16"/>
    <mergeCell ref="B5:C5"/>
    <mergeCell ref="E11:F11"/>
    <mergeCell ref="E5:F5"/>
    <mergeCell ref="B14:F14"/>
    <mergeCell ref="H5:I5"/>
    <mergeCell ref="E13:F13"/>
    <mergeCell ref="A2:J2"/>
    <mergeCell ref="B8:C8"/>
    <mergeCell ref="E8:F8"/>
  </mergeCells>
  <conditionalFormatting sqref="H5:I5">
    <cfRule type="cellIs" priority="1" operator="greaterThan" dxfId="0">
      <formula>0</formula>
    </cfRule>
    <cfRule type="cellIs" priority="2" operator="lessThan" dxfId="1">
      <formula>0</formula>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2E7D32"/>
    <outlinePr summaryBelow="1" summaryRight="1"/>
    <pageSetUpPr/>
  </sheetPr>
  <dimension ref="A1:F60"/>
  <sheetViews>
    <sheetView workbookViewId="0">
      <selection activeCell="A1" sqref="A1"/>
    </sheetView>
  </sheetViews>
  <sheetFormatPr baseColWidth="8" defaultRowHeight="15"/>
  <cols>
    <col width="14" customWidth="1" min="1" max="1"/>
    <col width="28" customWidth="1" min="2" max="2"/>
    <col width="18" customWidth="1" min="3" max="3"/>
    <col width="22" customWidth="1" min="4" max="4"/>
    <col width="16" customWidth="1" min="5" max="5"/>
    <col width="25" customWidth="1" min="6" max="6"/>
  </cols>
  <sheetData>
    <row r="1" ht="30" customHeight="1">
      <c r="A1" s="1" t="inlineStr">
        <is>
          <t>Household Income Tracker</t>
        </is>
      </c>
    </row>
    <row r="2" ht="20" customHeight="1">
      <c r="A2" s="2" t="inlineStr">
        <is>
          <t>Enter all income sources below. Use the dropdowns for Person and Type. Totals update automatically.</t>
        </is>
      </c>
    </row>
    <row r="4">
      <c r="A4" s="16" t="inlineStr">
        <is>
          <t>Person</t>
        </is>
      </c>
      <c r="B4" s="16" t="inlineStr">
        <is>
          <t>Income Source</t>
        </is>
      </c>
      <c r="C4" s="16" t="inlineStr">
        <is>
          <t>Type</t>
        </is>
      </c>
      <c r="D4" s="16" t="inlineStr">
        <is>
          <t>Amount (Monthly)</t>
        </is>
      </c>
      <c r="E4" s="16" t="inlineStr">
        <is>
          <t>Date</t>
        </is>
      </c>
      <c r="F4" s="16" t="inlineStr">
        <is>
          <t>Notes</t>
        </is>
      </c>
    </row>
    <row r="5">
      <c r="A5" s="17" t="n"/>
      <c r="B5" s="17" t="n"/>
      <c r="C5" s="17" t="n"/>
      <c r="D5" s="15" t="n"/>
      <c r="E5" s="18" t="n"/>
      <c r="F5" s="17" t="n"/>
    </row>
    <row r="6">
      <c r="A6" s="17" t="n"/>
      <c r="B6" s="17" t="n"/>
      <c r="C6" s="17" t="n"/>
      <c r="D6" s="15" t="n"/>
      <c r="E6" s="18" t="n"/>
      <c r="F6" s="17" t="n"/>
    </row>
    <row r="7">
      <c r="A7" s="17" t="n"/>
      <c r="B7" s="17" t="n"/>
      <c r="C7" s="17" t="n"/>
      <c r="D7" s="15" t="n"/>
      <c r="E7" s="18" t="n"/>
      <c r="F7" s="17" t="n"/>
    </row>
    <row r="8">
      <c r="A8" s="17" t="n"/>
      <c r="B8" s="17" t="n"/>
      <c r="C8" s="17" t="n"/>
      <c r="D8" s="15" t="n"/>
      <c r="E8" s="18" t="n"/>
      <c r="F8" s="17" t="n"/>
    </row>
    <row r="9">
      <c r="A9" s="17" t="n"/>
      <c r="B9" s="17" t="n"/>
      <c r="C9" s="17" t="n"/>
      <c r="D9" s="15" t="n"/>
      <c r="E9" s="18" t="n"/>
      <c r="F9" s="17" t="n"/>
    </row>
    <row r="10">
      <c r="A10" s="17" t="n"/>
      <c r="B10" s="17" t="n"/>
      <c r="C10" s="17" t="n"/>
      <c r="D10" s="15" t="n"/>
      <c r="E10" s="18" t="n"/>
      <c r="F10" s="17" t="n"/>
    </row>
    <row r="11">
      <c r="A11" s="17" t="n"/>
      <c r="B11" s="17" t="n"/>
      <c r="C11" s="17" t="n"/>
      <c r="D11" s="15" t="n"/>
      <c r="E11" s="18" t="n"/>
      <c r="F11" s="17" t="n"/>
    </row>
    <row r="12">
      <c r="A12" s="17" t="n"/>
      <c r="B12" s="17" t="n"/>
      <c r="C12" s="17" t="n"/>
      <c r="D12" s="15" t="n"/>
      <c r="E12" s="18" t="n"/>
      <c r="F12" s="17" t="n"/>
    </row>
    <row r="13">
      <c r="A13" s="17" t="n"/>
      <c r="B13" s="17" t="n"/>
      <c r="C13" s="17" t="n"/>
      <c r="D13" s="15" t="n"/>
      <c r="E13" s="18" t="n"/>
      <c r="F13" s="17" t="n"/>
    </row>
    <row r="14">
      <c r="A14" s="17" t="n"/>
      <c r="B14" s="17" t="n"/>
      <c r="C14" s="17" t="n"/>
      <c r="D14" s="15" t="n"/>
      <c r="E14" s="18" t="n"/>
      <c r="F14" s="17" t="n"/>
    </row>
    <row r="15">
      <c r="A15" s="17" t="n"/>
      <c r="B15" s="17" t="n"/>
      <c r="C15" s="17" t="n"/>
      <c r="D15" s="15" t="n"/>
      <c r="E15" s="18" t="n"/>
      <c r="F15" s="17" t="n"/>
    </row>
    <row r="16">
      <c r="A16" s="17" t="n"/>
      <c r="B16" s="17" t="n"/>
      <c r="C16" s="17" t="n"/>
      <c r="D16" s="15" t="n"/>
      <c r="E16" s="18" t="n"/>
      <c r="F16" s="17" t="n"/>
    </row>
    <row r="17">
      <c r="A17" s="17" t="n"/>
      <c r="B17" s="17" t="n"/>
      <c r="C17" s="17" t="n"/>
      <c r="D17" s="15" t="n"/>
      <c r="E17" s="18" t="n"/>
      <c r="F17" s="17" t="n"/>
    </row>
    <row r="18">
      <c r="A18" s="17" t="n"/>
      <c r="B18" s="17" t="n"/>
      <c r="C18" s="17" t="n"/>
      <c r="D18" s="15" t="n"/>
      <c r="E18" s="18" t="n"/>
      <c r="F18" s="17" t="n"/>
    </row>
    <row r="19">
      <c r="A19" s="17" t="n"/>
      <c r="B19" s="17" t="n"/>
      <c r="C19" s="17" t="n"/>
      <c r="D19" s="15" t="n"/>
      <c r="E19" s="18" t="n"/>
      <c r="F19" s="17" t="n"/>
    </row>
    <row r="20">
      <c r="A20" s="17" t="n"/>
      <c r="B20" s="17" t="n"/>
      <c r="C20" s="17" t="n"/>
      <c r="D20" s="15" t="n"/>
      <c r="E20" s="18" t="n"/>
      <c r="F20" s="17" t="n"/>
    </row>
    <row r="21">
      <c r="A21" s="17" t="n"/>
      <c r="B21" s="17" t="n"/>
      <c r="C21" s="17" t="n"/>
      <c r="D21" s="15" t="n"/>
      <c r="E21" s="18" t="n"/>
      <c r="F21" s="17" t="n"/>
    </row>
    <row r="22">
      <c r="A22" s="17" t="n"/>
      <c r="B22" s="17" t="n"/>
      <c r="C22" s="17" t="n"/>
      <c r="D22" s="15" t="n"/>
      <c r="E22" s="18" t="n"/>
      <c r="F22" s="17" t="n"/>
    </row>
    <row r="23">
      <c r="A23" s="17" t="n"/>
      <c r="B23" s="17" t="n"/>
      <c r="C23" s="17" t="n"/>
      <c r="D23" s="15" t="n"/>
      <c r="E23" s="18" t="n"/>
      <c r="F23" s="17" t="n"/>
    </row>
    <row r="24">
      <c r="A24" s="17" t="n"/>
      <c r="B24" s="17" t="n"/>
      <c r="C24" s="17" t="n"/>
      <c r="D24" s="15" t="n"/>
      <c r="E24" s="18" t="n"/>
      <c r="F24" s="17" t="n"/>
    </row>
    <row r="25">
      <c r="A25" s="17" t="n"/>
      <c r="B25" s="17" t="n"/>
      <c r="C25" s="17" t="n"/>
      <c r="D25" s="15" t="n"/>
      <c r="E25" s="18" t="n"/>
      <c r="F25" s="17" t="n"/>
    </row>
    <row r="26">
      <c r="A26" s="17" t="n"/>
      <c r="B26" s="17" t="n"/>
      <c r="C26" s="17" t="n"/>
      <c r="D26" s="15" t="n"/>
      <c r="E26" s="18" t="n"/>
      <c r="F26" s="17" t="n"/>
    </row>
    <row r="27">
      <c r="A27" s="17" t="n"/>
      <c r="B27" s="17" t="n"/>
      <c r="C27" s="17" t="n"/>
      <c r="D27" s="15" t="n"/>
      <c r="E27" s="18" t="n"/>
      <c r="F27" s="17" t="n"/>
    </row>
    <row r="28">
      <c r="A28" s="17" t="n"/>
      <c r="B28" s="17" t="n"/>
      <c r="C28" s="17" t="n"/>
      <c r="D28" s="15" t="n"/>
      <c r="E28" s="18" t="n"/>
      <c r="F28" s="17" t="n"/>
    </row>
    <row r="29">
      <c r="A29" s="17" t="n"/>
      <c r="B29" s="17" t="n"/>
      <c r="C29" s="17" t="n"/>
      <c r="D29" s="15" t="n"/>
      <c r="E29" s="18" t="n"/>
      <c r="F29" s="17" t="n"/>
    </row>
    <row r="30">
      <c r="A30" s="17" t="n"/>
      <c r="B30" s="17" t="n"/>
      <c r="C30" s="17" t="n"/>
      <c r="D30" s="15" t="n"/>
      <c r="E30" s="18" t="n"/>
      <c r="F30" s="17" t="n"/>
    </row>
    <row r="31">
      <c r="A31" s="17" t="n"/>
      <c r="B31" s="17" t="n"/>
      <c r="C31" s="17" t="n"/>
      <c r="D31" s="15" t="n"/>
      <c r="E31" s="18" t="n"/>
      <c r="F31" s="17" t="n"/>
    </row>
    <row r="32">
      <c r="A32" s="17" t="n"/>
      <c r="B32" s="17" t="n"/>
      <c r="C32" s="17" t="n"/>
      <c r="D32" s="15" t="n"/>
      <c r="E32" s="18" t="n"/>
      <c r="F32" s="17" t="n"/>
    </row>
    <row r="33">
      <c r="A33" s="17" t="n"/>
      <c r="B33" s="17" t="n"/>
      <c r="C33" s="17" t="n"/>
      <c r="D33" s="15" t="n"/>
      <c r="E33" s="18" t="n"/>
      <c r="F33" s="17" t="n"/>
    </row>
    <row r="34">
      <c r="A34" s="17" t="n"/>
      <c r="B34" s="17" t="n"/>
      <c r="C34" s="17" t="n"/>
      <c r="D34" s="15" t="n"/>
      <c r="E34" s="18" t="n"/>
      <c r="F34" s="17" t="n"/>
    </row>
    <row r="35">
      <c r="A35" s="17" t="n"/>
      <c r="B35" s="17" t="n"/>
      <c r="C35" s="17" t="n"/>
      <c r="D35" s="15" t="n"/>
      <c r="E35" s="18" t="n"/>
      <c r="F35" s="17" t="n"/>
    </row>
    <row r="36">
      <c r="A36" s="17" t="n"/>
      <c r="B36" s="17" t="n"/>
      <c r="C36" s="17" t="n"/>
      <c r="D36" s="15" t="n"/>
      <c r="E36" s="18" t="n"/>
      <c r="F36" s="17" t="n"/>
    </row>
    <row r="37">
      <c r="A37" s="17" t="n"/>
      <c r="B37" s="17" t="n"/>
      <c r="C37" s="17" t="n"/>
      <c r="D37" s="15" t="n"/>
      <c r="E37" s="18" t="n"/>
      <c r="F37" s="17" t="n"/>
    </row>
    <row r="38">
      <c r="A38" s="17" t="n"/>
      <c r="B38" s="17" t="n"/>
      <c r="C38" s="17" t="n"/>
      <c r="D38" s="15" t="n"/>
      <c r="E38" s="18" t="n"/>
      <c r="F38" s="17" t="n"/>
    </row>
    <row r="39">
      <c r="A39" s="17" t="n"/>
      <c r="B39" s="17" t="n"/>
      <c r="C39" s="17" t="n"/>
      <c r="D39" s="15" t="n"/>
      <c r="E39" s="18" t="n"/>
      <c r="F39" s="17" t="n"/>
    </row>
    <row r="40">
      <c r="A40" s="17" t="n"/>
      <c r="B40" s="17" t="n"/>
      <c r="C40" s="17" t="n"/>
      <c r="D40" s="15" t="n"/>
      <c r="E40" s="18" t="n"/>
      <c r="F40" s="17" t="n"/>
    </row>
    <row r="41">
      <c r="A41" s="17" t="n"/>
      <c r="B41" s="17" t="n"/>
      <c r="C41" s="17" t="n"/>
      <c r="D41" s="15" t="n"/>
      <c r="E41" s="18" t="n"/>
      <c r="F41" s="17" t="n"/>
    </row>
    <row r="42">
      <c r="A42" s="17" t="n"/>
      <c r="B42" s="17" t="n"/>
      <c r="C42" s="17" t="n"/>
      <c r="D42" s="15" t="n"/>
      <c r="E42" s="18" t="n"/>
      <c r="F42" s="17" t="n"/>
    </row>
    <row r="43">
      <c r="A43" s="17" t="n"/>
      <c r="B43" s="17" t="n"/>
      <c r="C43" s="17" t="n"/>
      <c r="D43" s="15" t="n"/>
      <c r="E43" s="18" t="n"/>
      <c r="F43" s="17" t="n"/>
    </row>
    <row r="44">
      <c r="A44" s="17" t="n"/>
      <c r="B44" s="17" t="n"/>
      <c r="C44" s="17" t="n"/>
      <c r="D44" s="15" t="n"/>
      <c r="E44" s="18" t="n"/>
      <c r="F44" s="17" t="n"/>
    </row>
    <row r="45">
      <c r="A45" s="17" t="n"/>
      <c r="B45" s="17" t="n"/>
      <c r="C45" s="17" t="n"/>
      <c r="D45" s="15" t="n"/>
      <c r="E45" s="18" t="n"/>
      <c r="F45" s="17" t="n"/>
    </row>
    <row r="46">
      <c r="A46" s="17" t="n"/>
      <c r="B46" s="17" t="n"/>
      <c r="C46" s="17" t="n"/>
      <c r="D46" s="15" t="n"/>
      <c r="E46" s="18" t="n"/>
      <c r="F46" s="17" t="n"/>
    </row>
    <row r="47">
      <c r="A47" s="17" t="n"/>
      <c r="B47" s="17" t="n"/>
      <c r="C47" s="17" t="n"/>
      <c r="D47" s="15" t="n"/>
      <c r="E47" s="18" t="n"/>
      <c r="F47" s="17" t="n"/>
    </row>
    <row r="48">
      <c r="A48" s="17" t="n"/>
      <c r="B48" s="17" t="n"/>
      <c r="C48" s="17" t="n"/>
      <c r="D48" s="15" t="n"/>
      <c r="E48" s="18" t="n"/>
      <c r="F48" s="17" t="n"/>
    </row>
    <row r="49">
      <c r="A49" s="17" t="n"/>
      <c r="B49" s="17" t="n"/>
      <c r="C49" s="17" t="n"/>
      <c r="D49" s="15" t="n"/>
      <c r="E49" s="18" t="n"/>
      <c r="F49" s="17" t="n"/>
    </row>
    <row r="50">
      <c r="A50" s="17" t="n"/>
      <c r="B50" s="17" t="n"/>
      <c r="C50" s="17" t="n"/>
      <c r="D50" s="15" t="n"/>
      <c r="E50" s="18" t="n"/>
      <c r="F50" s="17" t="n"/>
    </row>
    <row r="51">
      <c r="A51" s="17" t="n"/>
      <c r="B51" s="17" t="n"/>
      <c r="C51" s="17" t="n"/>
      <c r="D51" s="15" t="n"/>
      <c r="E51" s="18" t="n"/>
      <c r="F51" s="17" t="n"/>
    </row>
    <row r="52">
      <c r="A52" s="17" t="n"/>
      <c r="B52" s="17" t="n"/>
      <c r="C52" s="17" t="n"/>
      <c r="D52" s="15" t="n"/>
      <c r="E52" s="18" t="n"/>
      <c r="F52" s="17" t="n"/>
    </row>
    <row r="53">
      <c r="A53" s="17" t="n"/>
      <c r="B53" s="17" t="n"/>
      <c r="C53" s="17" t="n"/>
      <c r="D53" s="15" t="n"/>
      <c r="E53" s="18" t="n"/>
      <c r="F53" s="17" t="n"/>
    </row>
    <row r="54">
      <c r="A54" s="17" t="n"/>
      <c r="B54" s="17" t="n"/>
      <c r="C54" s="17" t="n"/>
      <c r="D54" s="15" t="n"/>
      <c r="E54" s="18" t="n"/>
      <c r="F54" s="17" t="n"/>
    </row>
    <row r="57">
      <c r="A57" s="11" t="inlineStr">
        <is>
          <t>INCOME SUMMARY</t>
        </is>
      </c>
    </row>
    <row r="58">
      <c r="B58" s="19" t="inlineStr">
        <is>
          <t>My Total Income</t>
        </is>
      </c>
      <c r="D58" s="20">
        <f>SUMIFS(D5:D54,A5:A54,"Me")</f>
        <v/>
      </c>
    </row>
    <row r="59">
      <c r="B59" s="19" t="inlineStr">
        <is>
          <t>Wife Total Income</t>
        </is>
      </c>
      <c r="D59" s="20">
        <f>SUMIFS(D5:D54,A5:A54,"Wife")</f>
        <v/>
      </c>
    </row>
    <row r="60">
      <c r="B60" s="19" t="inlineStr">
        <is>
          <t>Combined Household Income</t>
        </is>
      </c>
      <c r="D60" s="20">
        <f>SUM(D5:D54)</f>
        <v/>
      </c>
    </row>
  </sheetData>
  <sheetProtection selectLockedCells="0" selectUnlockedCells="0" sheet="1" objects="0" insertRows="1" insertHyperlinks="1" autoFilter="1" scenarios="0" formatColumns="1" deleteColumns="1" insertColumns="1" pivotTables="1" deleteRows="1" formatCells="1" formatRows="1" sort="1" password="CE4B"/>
  <mergeCells count="3">
    <mergeCell ref="A57:D57"/>
    <mergeCell ref="A2:F2"/>
    <mergeCell ref="A1:F1"/>
  </mergeCells>
  <dataValidations count="2">
    <dataValidation sqref="A5 A6 A7 A8 A9 A10 A11 A12 A13 A14 A15 A16 A17 A18 A19 A20 A21 A22 A23 A24 A25 A26 A27 A28 A29 A30 A31 A32 A33 A34 A35 A36 A37 A38 A39 A40 A41 A42 A43 A44 A45 A46 A47 A48 A49 A50 A51 A52 A53 A54" showDropDown="0" showInputMessage="0" showErrorMessage="0" allowBlank="1" errorTitle="Invalid Person" error="Please select Me or Wife" promptTitle="Person" prompt="Select person" type="list">
      <formula1>"Me,Wife"</formula1>
    </dataValidation>
    <dataValidation sqref="C5 C6 C7 C8 C9 C10 C11 C12 C13 C14 C15 C16 C17 C18 C19 C20 C21 C22 C23 C24 C25 C26 C27 C28 C29 C30 C31 C32 C33 C34 C35 C36 C37 C38 C39 C40 C41 C42 C43 C44 C45 C46 C47 C48 C49 C50 C51 C52 C53 C54" showDropDown="0" showInputMessage="0" showErrorMessage="0" allowBlank="1" type="list">
      <formula1>"Salary,Business,Passive,Rental,Investment,Other"</formula1>
    </dataValidation>
  </dataValidations>
  <pageMargins left="0.75" right="0.75" top="1" bottom="1" header="0.5" footer="0.5"/>
</worksheet>
</file>

<file path=xl/worksheets/sheet3.xml><?xml version="1.0" encoding="utf-8"?>
<worksheet xmlns="http://schemas.openxmlformats.org/spreadsheetml/2006/main">
  <sheetPr>
    <tabColor rgb="00C62828"/>
    <outlinePr summaryBelow="1" summaryRight="1"/>
    <pageSetUpPr/>
  </sheetPr>
  <dimension ref="A1:G126"/>
  <sheetViews>
    <sheetView workbookViewId="0">
      <selection activeCell="A1" sqref="A1"/>
    </sheetView>
  </sheetViews>
  <sheetFormatPr baseColWidth="8" defaultRowHeight="15"/>
  <cols>
    <col width="20" customWidth="1" min="1" max="1"/>
    <col width="30" customWidth="1" min="2" max="2"/>
    <col width="16" customWidth="1" min="3" max="3"/>
    <col width="18" customWidth="1" min="4" max="4"/>
    <col width="14" customWidth="1" min="5" max="5"/>
    <col width="14" customWidth="1" min="6" max="6"/>
    <col width="22" customWidth="1" min="7" max="7"/>
  </cols>
  <sheetData>
    <row r="1" ht="30" customHeight="1">
      <c r="A1" s="1" t="inlineStr">
        <is>
          <t>Monthly Expense Tracker</t>
        </is>
      </c>
    </row>
    <row r="2" ht="20" customHeight="1">
      <c r="A2" s="2" t="inlineStr">
        <is>
          <t>Log all expenses. Use dropdowns for Category, Fixed/Variable, and Paid By. Summaries below update automatically.</t>
        </is>
      </c>
    </row>
    <row r="4">
      <c r="A4" s="16" t="inlineStr">
        <is>
          <t>Category</t>
        </is>
      </c>
      <c r="B4" s="16" t="inlineStr">
        <is>
          <t>Description</t>
        </is>
      </c>
      <c r="C4" s="16" t="inlineStr">
        <is>
          <t>Fixed/Variable</t>
        </is>
      </c>
      <c r="D4" s="16" t="inlineStr">
        <is>
          <t>Amount</t>
        </is>
      </c>
      <c r="E4" s="16" t="inlineStr">
        <is>
          <t>Date</t>
        </is>
      </c>
      <c r="F4" s="16" t="inlineStr">
        <is>
          <t>Paid By</t>
        </is>
      </c>
      <c r="G4" s="16" t="inlineStr">
        <is>
          <t>Notes</t>
        </is>
      </c>
    </row>
    <row r="5">
      <c r="A5" s="17" t="n"/>
      <c r="B5" s="17" t="n"/>
      <c r="C5" s="17" t="n"/>
      <c r="D5" s="15" t="n"/>
      <c r="E5" s="18" t="n"/>
      <c r="F5" s="17" t="n"/>
      <c r="G5" s="17" t="n"/>
    </row>
    <row r="6">
      <c r="A6" s="17" t="n"/>
      <c r="B6" s="17" t="n"/>
      <c r="C6" s="17" t="n"/>
      <c r="D6" s="15" t="n"/>
      <c r="E6" s="18" t="n"/>
      <c r="F6" s="17" t="n"/>
      <c r="G6" s="17" t="n"/>
    </row>
    <row r="7">
      <c r="A7" s="17" t="n"/>
      <c r="B7" s="17" t="n"/>
      <c r="C7" s="17" t="n"/>
      <c r="D7" s="15" t="n"/>
      <c r="E7" s="18" t="n"/>
      <c r="F7" s="17" t="n"/>
      <c r="G7" s="17" t="n"/>
    </row>
    <row r="8">
      <c r="A8" s="17" t="n"/>
      <c r="B8" s="17" t="n"/>
      <c r="C8" s="17" t="n"/>
      <c r="D8" s="15" t="n"/>
      <c r="E8" s="18" t="n"/>
      <c r="F8" s="17" t="n"/>
      <c r="G8" s="17" t="n"/>
    </row>
    <row r="9">
      <c r="A9" s="17" t="n"/>
      <c r="B9" s="17" t="n"/>
      <c r="C9" s="17" t="n"/>
      <c r="D9" s="15" t="n"/>
      <c r="E9" s="18" t="n"/>
      <c r="F9" s="17" t="n"/>
      <c r="G9" s="17" t="n"/>
    </row>
    <row r="10">
      <c r="A10" s="17" t="n"/>
      <c r="B10" s="17" t="n"/>
      <c r="C10" s="17" t="n"/>
      <c r="D10" s="15" t="n"/>
      <c r="E10" s="18" t="n"/>
      <c r="F10" s="17" t="n"/>
      <c r="G10" s="17" t="n"/>
    </row>
    <row r="11">
      <c r="A11" s="17" t="n"/>
      <c r="B11" s="17" t="n"/>
      <c r="C11" s="17" t="n"/>
      <c r="D11" s="15" t="n"/>
      <c r="E11" s="18" t="n"/>
      <c r="F11" s="17" t="n"/>
      <c r="G11" s="17" t="n"/>
    </row>
    <row r="12">
      <c r="A12" s="17" t="n"/>
      <c r="B12" s="17" t="n"/>
      <c r="C12" s="17" t="n"/>
      <c r="D12" s="15" t="n"/>
      <c r="E12" s="18" t="n"/>
      <c r="F12" s="17" t="n"/>
      <c r="G12" s="17" t="n"/>
    </row>
    <row r="13">
      <c r="A13" s="17" t="n"/>
      <c r="B13" s="17" t="n"/>
      <c r="C13" s="17" t="n"/>
      <c r="D13" s="15" t="n"/>
      <c r="E13" s="18" t="n"/>
      <c r="F13" s="17" t="n"/>
      <c r="G13" s="17" t="n"/>
    </row>
    <row r="14">
      <c r="A14" s="17" t="n"/>
      <c r="B14" s="17" t="n"/>
      <c r="C14" s="17" t="n"/>
      <c r="D14" s="15" t="n"/>
      <c r="E14" s="18" t="n"/>
      <c r="F14" s="17" t="n"/>
      <c r="G14" s="17" t="n"/>
    </row>
    <row r="15">
      <c r="A15" s="17" t="n"/>
      <c r="B15" s="17" t="n"/>
      <c r="C15" s="17" t="n"/>
      <c r="D15" s="15" t="n"/>
      <c r="E15" s="18" t="n"/>
      <c r="F15" s="17" t="n"/>
      <c r="G15" s="17" t="n"/>
    </row>
    <row r="16">
      <c r="A16" s="17" t="n"/>
      <c r="B16" s="17" t="n"/>
      <c r="C16" s="17" t="n"/>
      <c r="D16" s="15" t="n"/>
      <c r="E16" s="18" t="n"/>
      <c r="F16" s="17" t="n"/>
      <c r="G16" s="17" t="n"/>
    </row>
    <row r="17">
      <c r="A17" s="17" t="n"/>
      <c r="B17" s="17" t="n"/>
      <c r="C17" s="17" t="n"/>
      <c r="D17" s="15" t="n"/>
      <c r="E17" s="18" t="n"/>
      <c r="F17" s="17" t="n"/>
      <c r="G17" s="17" t="n"/>
    </row>
    <row r="18">
      <c r="A18" s="17" t="n"/>
      <c r="B18" s="17" t="n"/>
      <c r="C18" s="17" t="n"/>
      <c r="D18" s="15" t="n"/>
      <c r="E18" s="18" t="n"/>
      <c r="F18" s="17" t="n"/>
      <c r="G18" s="17" t="n"/>
    </row>
    <row r="19">
      <c r="A19" s="17" t="n"/>
      <c r="B19" s="17" t="n"/>
      <c r="C19" s="17" t="n"/>
      <c r="D19" s="15" t="n"/>
      <c r="E19" s="18" t="n"/>
      <c r="F19" s="17" t="n"/>
      <c r="G19" s="17" t="n"/>
    </row>
    <row r="20">
      <c r="A20" s="17" t="n"/>
      <c r="B20" s="17" t="n"/>
      <c r="C20" s="17" t="n"/>
      <c r="D20" s="15" t="n"/>
      <c r="E20" s="18" t="n"/>
      <c r="F20" s="17" t="n"/>
      <c r="G20" s="17" t="n"/>
    </row>
    <row r="21">
      <c r="A21" s="17" t="n"/>
      <c r="B21" s="17" t="n"/>
      <c r="C21" s="17" t="n"/>
      <c r="D21" s="15" t="n"/>
      <c r="E21" s="18" t="n"/>
      <c r="F21" s="17" t="n"/>
      <c r="G21" s="17" t="n"/>
    </row>
    <row r="22">
      <c r="A22" s="17" t="n"/>
      <c r="B22" s="17" t="n"/>
      <c r="C22" s="17" t="n"/>
      <c r="D22" s="15" t="n"/>
      <c r="E22" s="18" t="n"/>
      <c r="F22" s="17" t="n"/>
      <c r="G22" s="17" t="n"/>
    </row>
    <row r="23">
      <c r="A23" s="17" t="n"/>
      <c r="B23" s="17" t="n"/>
      <c r="C23" s="17" t="n"/>
      <c r="D23" s="15" t="n"/>
      <c r="E23" s="18" t="n"/>
      <c r="F23" s="17" t="n"/>
      <c r="G23" s="17" t="n"/>
    </row>
    <row r="24">
      <c r="A24" s="17" t="n"/>
      <c r="B24" s="17" t="n"/>
      <c r="C24" s="17" t="n"/>
      <c r="D24" s="15" t="n"/>
      <c r="E24" s="18" t="n"/>
      <c r="F24" s="17" t="n"/>
      <c r="G24" s="17" t="n"/>
    </row>
    <row r="25">
      <c r="A25" s="17" t="n"/>
      <c r="B25" s="17" t="n"/>
      <c r="C25" s="17" t="n"/>
      <c r="D25" s="15" t="n"/>
      <c r="E25" s="18" t="n"/>
      <c r="F25" s="17" t="n"/>
      <c r="G25" s="17" t="n"/>
    </row>
    <row r="26">
      <c r="A26" s="17" t="n"/>
      <c r="B26" s="17" t="n"/>
      <c r="C26" s="17" t="n"/>
      <c r="D26" s="15" t="n"/>
      <c r="E26" s="18" t="n"/>
      <c r="F26" s="17" t="n"/>
      <c r="G26" s="17" t="n"/>
    </row>
    <row r="27">
      <c r="A27" s="17" t="n"/>
      <c r="B27" s="17" t="n"/>
      <c r="C27" s="17" t="n"/>
      <c r="D27" s="15" t="n"/>
      <c r="E27" s="18" t="n"/>
      <c r="F27" s="17" t="n"/>
      <c r="G27" s="17" t="n"/>
    </row>
    <row r="28">
      <c r="A28" s="17" t="n"/>
      <c r="B28" s="17" t="n"/>
      <c r="C28" s="17" t="n"/>
      <c r="D28" s="15" t="n"/>
      <c r="E28" s="18" t="n"/>
      <c r="F28" s="17" t="n"/>
      <c r="G28" s="17" t="n"/>
    </row>
    <row r="29">
      <c r="A29" s="17" t="n"/>
      <c r="B29" s="17" t="n"/>
      <c r="C29" s="17" t="n"/>
      <c r="D29" s="15" t="n"/>
      <c r="E29" s="18" t="n"/>
      <c r="F29" s="17" t="n"/>
      <c r="G29" s="17" t="n"/>
    </row>
    <row r="30">
      <c r="A30" s="17" t="n"/>
      <c r="B30" s="17" t="n"/>
      <c r="C30" s="17" t="n"/>
      <c r="D30" s="15" t="n"/>
      <c r="E30" s="18" t="n"/>
      <c r="F30" s="17" t="n"/>
      <c r="G30" s="17" t="n"/>
    </row>
    <row r="31">
      <c r="A31" s="17" t="n"/>
      <c r="B31" s="17" t="n"/>
      <c r="C31" s="17" t="n"/>
      <c r="D31" s="15" t="n"/>
      <c r="E31" s="18" t="n"/>
      <c r="F31" s="17" t="n"/>
      <c r="G31" s="17" t="n"/>
    </row>
    <row r="32">
      <c r="A32" s="17" t="n"/>
      <c r="B32" s="17" t="n"/>
      <c r="C32" s="17" t="n"/>
      <c r="D32" s="15" t="n"/>
      <c r="E32" s="18" t="n"/>
      <c r="F32" s="17" t="n"/>
      <c r="G32" s="17" t="n"/>
    </row>
    <row r="33">
      <c r="A33" s="17" t="n"/>
      <c r="B33" s="17" t="n"/>
      <c r="C33" s="17" t="n"/>
      <c r="D33" s="15" t="n"/>
      <c r="E33" s="18" t="n"/>
      <c r="F33" s="17" t="n"/>
      <c r="G33" s="17" t="n"/>
    </row>
    <row r="34">
      <c r="A34" s="17" t="n"/>
      <c r="B34" s="17" t="n"/>
      <c r="C34" s="17" t="n"/>
      <c r="D34" s="15" t="n"/>
      <c r="E34" s="18" t="n"/>
      <c r="F34" s="17" t="n"/>
      <c r="G34" s="17" t="n"/>
    </row>
    <row r="35">
      <c r="A35" s="17" t="n"/>
      <c r="B35" s="17" t="n"/>
      <c r="C35" s="17" t="n"/>
      <c r="D35" s="15" t="n"/>
      <c r="E35" s="18" t="n"/>
      <c r="F35" s="17" t="n"/>
      <c r="G35" s="17" t="n"/>
    </row>
    <row r="36">
      <c r="A36" s="17" t="n"/>
      <c r="B36" s="17" t="n"/>
      <c r="C36" s="17" t="n"/>
      <c r="D36" s="15" t="n"/>
      <c r="E36" s="18" t="n"/>
      <c r="F36" s="17" t="n"/>
      <c r="G36" s="17" t="n"/>
    </row>
    <row r="37">
      <c r="A37" s="17" t="n"/>
      <c r="B37" s="17" t="n"/>
      <c r="C37" s="17" t="n"/>
      <c r="D37" s="15" t="n"/>
      <c r="E37" s="18" t="n"/>
      <c r="F37" s="17" t="n"/>
      <c r="G37" s="17" t="n"/>
    </row>
    <row r="38">
      <c r="A38" s="17" t="n"/>
      <c r="B38" s="17" t="n"/>
      <c r="C38" s="17" t="n"/>
      <c r="D38" s="15" t="n"/>
      <c r="E38" s="18" t="n"/>
      <c r="F38" s="17" t="n"/>
      <c r="G38" s="17" t="n"/>
    </row>
    <row r="39">
      <c r="A39" s="17" t="n"/>
      <c r="B39" s="17" t="n"/>
      <c r="C39" s="17" t="n"/>
      <c r="D39" s="15" t="n"/>
      <c r="E39" s="18" t="n"/>
      <c r="F39" s="17" t="n"/>
      <c r="G39" s="17" t="n"/>
    </row>
    <row r="40">
      <c r="A40" s="17" t="n"/>
      <c r="B40" s="17" t="n"/>
      <c r="C40" s="17" t="n"/>
      <c r="D40" s="15" t="n"/>
      <c r="E40" s="18" t="n"/>
      <c r="F40" s="17" t="n"/>
      <c r="G40" s="17" t="n"/>
    </row>
    <row r="41">
      <c r="A41" s="17" t="n"/>
      <c r="B41" s="17" t="n"/>
      <c r="C41" s="17" t="n"/>
      <c r="D41" s="15" t="n"/>
      <c r="E41" s="18" t="n"/>
      <c r="F41" s="17" t="n"/>
      <c r="G41" s="17" t="n"/>
    </row>
    <row r="42">
      <c r="A42" s="17" t="n"/>
      <c r="B42" s="17" t="n"/>
      <c r="C42" s="17" t="n"/>
      <c r="D42" s="15" t="n"/>
      <c r="E42" s="18" t="n"/>
      <c r="F42" s="17" t="n"/>
      <c r="G42" s="17" t="n"/>
    </row>
    <row r="43">
      <c r="A43" s="17" t="n"/>
      <c r="B43" s="17" t="n"/>
      <c r="C43" s="17" t="n"/>
      <c r="D43" s="15" t="n"/>
      <c r="E43" s="18" t="n"/>
      <c r="F43" s="17" t="n"/>
      <c r="G43" s="17" t="n"/>
    </row>
    <row r="44">
      <c r="A44" s="17" t="n"/>
      <c r="B44" s="17" t="n"/>
      <c r="C44" s="17" t="n"/>
      <c r="D44" s="15" t="n"/>
      <c r="E44" s="18" t="n"/>
      <c r="F44" s="17" t="n"/>
      <c r="G44" s="17" t="n"/>
    </row>
    <row r="45">
      <c r="A45" s="17" t="n"/>
      <c r="B45" s="17" t="n"/>
      <c r="C45" s="17" t="n"/>
      <c r="D45" s="15" t="n"/>
      <c r="E45" s="18" t="n"/>
      <c r="F45" s="17" t="n"/>
      <c r="G45" s="17" t="n"/>
    </row>
    <row r="46">
      <c r="A46" s="17" t="n"/>
      <c r="B46" s="17" t="n"/>
      <c r="C46" s="17" t="n"/>
      <c r="D46" s="15" t="n"/>
      <c r="E46" s="18" t="n"/>
      <c r="F46" s="17" t="n"/>
      <c r="G46" s="17" t="n"/>
    </row>
    <row r="47">
      <c r="A47" s="17" t="n"/>
      <c r="B47" s="17" t="n"/>
      <c r="C47" s="17" t="n"/>
      <c r="D47" s="15" t="n"/>
      <c r="E47" s="18" t="n"/>
      <c r="F47" s="17" t="n"/>
      <c r="G47" s="17" t="n"/>
    </row>
    <row r="48">
      <c r="A48" s="17" t="n"/>
      <c r="B48" s="17" t="n"/>
      <c r="C48" s="17" t="n"/>
      <c r="D48" s="15" t="n"/>
      <c r="E48" s="18" t="n"/>
      <c r="F48" s="17" t="n"/>
      <c r="G48" s="17" t="n"/>
    </row>
    <row r="49">
      <c r="A49" s="17" t="n"/>
      <c r="B49" s="17" t="n"/>
      <c r="C49" s="17" t="n"/>
      <c r="D49" s="15" t="n"/>
      <c r="E49" s="18" t="n"/>
      <c r="F49" s="17" t="n"/>
      <c r="G49" s="17" t="n"/>
    </row>
    <row r="50">
      <c r="A50" s="17" t="n"/>
      <c r="B50" s="17" t="n"/>
      <c r="C50" s="17" t="n"/>
      <c r="D50" s="15" t="n"/>
      <c r="E50" s="18" t="n"/>
      <c r="F50" s="17" t="n"/>
      <c r="G50" s="17" t="n"/>
    </row>
    <row r="51">
      <c r="A51" s="17" t="n"/>
      <c r="B51" s="17" t="n"/>
      <c r="C51" s="17" t="n"/>
      <c r="D51" s="15" t="n"/>
      <c r="E51" s="18" t="n"/>
      <c r="F51" s="17" t="n"/>
      <c r="G51" s="17" t="n"/>
    </row>
    <row r="52">
      <c r="A52" s="17" t="n"/>
      <c r="B52" s="17" t="n"/>
      <c r="C52" s="17" t="n"/>
      <c r="D52" s="15" t="n"/>
      <c r="E52" s="18" t="n"/>
      <c r="F52" s="17" t="n"/>
      <c r="G52" s="17" t="n"/>
    </row>
    <row r="53">
      <c r="A53" s="17" t="n"/>
      <c r="B53" s="17" t="n"/>
      <c r="C53" s="17" t="n"/>
      <c r="D53" s="15" t="n"/>
      <c r="E53" s="18" t="n"/>
      <c r="F53" s="17" t="n"/>
      <c r="G53" s="17" t="n"/>
    </row>
    <row r="54">
      <c r="A54" s="17" t="n"/>
      <c r="B54" s="17" t="n"/>
      <c r="C54" s="17" t="n"/>
      <c r="D54" s="15" t="n"/>
      <c r="E54" s="18" t="n"/>
      <c r="F54" s="17" t="n"/>
      <c r="G54" s="17" t="n"/>
    </row>
    <row r="55">
      <c r="A55" s="17" t="n"/>
      <c r="B55" s="17" t="n"/>
      <c r="C55" s="17" t="n"/>
      <c r="D55" s="15" t="n"/>
      <c r="E55" s="18" t="n"/>
      <c r="F55" s="17" t="n"/>
      <c r="G55" s="17" t="n"/>
    </row>
    <row r="56">
      <c r="A56" s="17" t="n"/>
      <c r="B56" s="17" t="n"/>
      <c r="C56" s="17" t="n"/>
      <c r="D56" s="15" t="n"/>
      <c r="E56" s="18" t="n"/>
      <c r="F56" s="17" t="n"/>
      <c r="G56" s="17" t="n"/>
    </row>
    <row r="57">
      <c r="A57" s="17" t="n"/>
      <c r="B57" s="17" t="n"/>
      <c r="C57" s="17" t="n"/>
      <c r="D57" s="15" t="n"/>
      <c r="E57" s="18" t="n"/>
      <c r="F57" s="17" t="n"/>
      <c r="G57" s="17" t="n"/>
    </row>
    <row r="58">
      <c r="A58" s="17" t="n"/>
      <c r="B58" s="17" t="n"/>
      <c r="C58" s="17" t="n"/>
      <c r="D58" s="15" t="n"/>
      <c r="E58" s="18" t="n"/>
      <c r="F58" s="17" t="n"/>
      <c r="G58" s="17" t="n"/>
    </row>
    <row r="59">
      <c r="A59" s="17" t="n"/>
      <c r="B59" s="17" t="n"/>
      <c r="C59" s="17" t="n"/>
      <c r="D59" s="15" t="n"/>
      <c r="E59" s="18" t="n"/>
      <c r="F59" s="17" t="n"/>
      <c r="G59" s="17" t="n"/>
    </row>
    <row r="60">
      <c r="A60" s="17" t="n"/>
      <c r="B60" s="17" t="n"/>
      <c r="C60" s="17" t="n"/>
      <c r="D60" s="15" t="n"/>
      <c r="E60" s="18" t="n"/>
      <c r="F60" s="17" t="n"/>
      <c r="G60" s="17" t="n"/>
    </row>
    <row r="61">
      <c r="A61" s="17" t="n"/>
      <c r="B61" s="17" t="n"/>
      <c r="C61" s="17" t="n"/>
      <c r="D61" s="15" t="n"/>
      <c r="E61" s="18" t="n"/>
      <c r="F61" s="17" t="n"/>
      <c r="G61" s="17" t="n"/>
    </row>
    <row r="62">
      <c r="A62" s="17" t="n"/>
      <c r="B62" s="17" t="n"/>
      <c r="C62" s="17" t="n"/>
      <c r="D62" s="15" t="n"/>
      <c r="E62" s="18" t="n"/>
      <c r="F62" s="17" t="n"/>
      <c r="G62" s="17" t="n"/>
    </row>
    <row r="63">
      <c r="A63" s="17" t="n"/>
      <c r="B63" s="17" t="n"/>
      <c r="C63" s="17" t="n"/>
      <c r="D63" s="15" t="n"/>
      <c r="E63" s="18" t="n"/>
      <c r="F63" s="17" t="n"/>
      <c r="G63" s="17" t="n"/>
    </row>
    <row r="64">
      <c r="A64" s="17" t="n"/>
      <c r="B64" s="17" t="n"/>
      <c r="C64" s="17" t="n"/>
      <c r="D64" s="15" t="n"/>
      <c r="E64" s="18" t="n"/>
      <c r="F64" s="17" t="n"/>
      <c r="G64" s="17" t="n"/>
    </row>
    <row r="65">
      <c r="A65" s="17" t="n"/>
      <c r="B65" s="17" t="n"/>
      <c r="C65" s="17" t="n"/>
      <c r="D65" s="15" t="n"/>
      <c r="E65" s="18" t="n"/>
      <c r="F65" s="17" t="n"/>
      <c r="G65" s="17" t="n"/>
    </row>
    <row r="66">
      <c r="A66" s="17" t="n"/>
      <c r="B66" s="17" t="n"/>
      <c r="C66" s="17" t="n"/>
      <c r="D66" s="15" t="n"/>
      <c r="E66" s="18" t="n"/>
      <c r="F66" s="17" t="n"/>
      <c r="G66" s="17" t="n"/>
    </row>
    <row r="67">
      <c r="A67" s="17" t="n"/>
      <c r="B67" s="17" t="n"/>
      <c r="C67" s="17" t="n"/>
      <c r="D67" s="15" t="n"/>
      <c r="E67" s="18" t="n"/>
      <c r="F67" s="17" t="n"/>
      <c r="G67" s="17" t="n"/>
    </row>
    <row r="68">
      <c r="A68" s="17" t="n"/>
      <c r="B68" s="17" t="n"/>
      <c r="C68" s="17" t="n"/>
      <c r="D68" s="15" t="n"/>
      <c r="E68" s="18" t="n"/>
      <c r="F68" s="17" t="n"/>
      <c r="G68" s="17" t="n"/>
    </row>
    <row r="69">
      <c r="A69" s="17" t="n"/>
      <c r="B69" s="17" t="n"/>
      <c r="C69" s="17" t="n"/>
      <c r="D69" s="15" t="n"/>
      <c r="E69" s="18" t="n"/>
      <c r="F69" s="17" t="n"/>
      <c r="G69" s="17" t="n"/>
    </row>
    <row r="70">
      <c r="A70" s="17" t="n"/>
      <c r="B70" s="17" t="n"/>
      <c r="C70" s="17" t="n"/>
      <c r="D70" s="15" t="n"/>
      <c r="E70" s="18" t="n"/>
      <c r="F70" s="17" t="n"/>
      <c r="G70" s="17" t="n"/>
    </row>
    <row r="71">
      <c r="A71" s="17" t="n"/>
      <c r="B71" s="17" t="n"/>
      <c r="C71" s="17" t="n"/>
      <c r="D71" s="15" t="n"/>
      <c r="E71" s="18" t="n"/>
      <c r="F71" s="17" t="n"/>
      <c r="G71" s="17" t="n"/>
    </row>
    <row r="72">
      <c r="A72" s="17" t="n"/>
      <c r="B72" s="17" t="n"/>
      <c r="C72" s="17" t="n"/>
      <c r="D72" s="15" t="n"/>
      <c r="E72" s="18" t="n"/>
      <c r="F72" s="17" t="n"/>
      <c r="G72" s="17" t="n"/>
    </row>
    <row r="73">
      <c r="A73" s="17" t="n"/>
      <c r="B73" s="17" t="n"/>
      <c r="C73" s="17" t="n"/>
      <c r="D73" s="15" t="n"/>
      <c r="E73" s="18" t="n"/>
      <c r="F73" s="17" t="n"/>
      <c r="G73" s="17" t="n"/>
    </row>
    <row r="74">
      <c r="A74" s="17" t="n"/>
      <c r="B74" s="17" t="n"/>
      <c r="C74" s="17" t="n"/>
      <c r="D74" s="15" t="n"/>
      <c r="E74" s="18" t="n"/>
      <c r="F74" s="17" t="n"/>
      <c r="G74" s="17" t="n"/>
    </row>
    <row r="75">
      <c r="A75" s="17" t="n"/>
      <c r="B75" s="17" t="n"/>
      <c r="C75" s="17" t="n"/>
      <c r="D75" s="15" t="n"/>
      <c r="E75" s="18" t="n"/>
      <c r="F75" s="17" t="n"/>
      <c r="G75" s="17" t="n"/>
    </row>
    <row r="76">
      <c r="A76" s="17" t="n"/>
      <c r="B76" s="17" t="n"/>
      <c r="C76" s="17" t="n"/>
      <c r="D76" s="15" t="n"/>
      <c r="E76" s="18" t="n"/>
      <c r="F76" s="17" t="n"/>
      <c r="G76" s="17" t="n"/>
    </row>
    <row r="77">
      <c r="A77" s="17" t="n"/>
      <c r="B77" s="17" t="n"/>
      <c r="C77" s="17" t="n"/>
      <c r="D77" s="15" t="n"/>
      <c r="E77" s="18" t="n"/>
      <c r="F77" s="17" t="n"/>
      <c r="G77" s="17" t="n"/>
    </row>
    <row r="78">
      <c r="A78" s="17" t="n"/>
      <c r="B78" s="17" t="n"/>
      <c r="C78" s="17" t="n"/>
      <c r="D78" s="15" t="n"/>
      <c r="E78" s="18" t="n"/>
      <c r="F78" s="17" t="n"/>
      <c r="G78" s="17" t="n"/>
    </row>
    <row r="79">
      <c r="A79" s="17" t="n"/>
      <c r="B79" s="17" t="n"/>
      <c r="C79" s="17" t="n"/>
      <c r="D79" s="15" t="n"/>
      <c r="E79" s="18" t="n"/>
      <c r="F79" s="17" t="n"/>
      <c r="G79" s="17" t="n"/>
    </row>
    <row r="80">
      <c r="A80" s="17" t="n"/>
      <c r="B80" s="17" t="n"/>
      <c r="C80" s="17" t="n"/>
      <c r="D80" s="15" t="n"/>
      <c r="E80" s="18" t="n"/>
      <c r="F80" s="17" t="n"/>
      <c r="G80" s="17" t="n"/>
    </row>
    <row r="81">
      <c r="A81" s="17" t="n"/>
      <c r="B81" s="17" t="n"/>
      <c r="C81" s="17" t="n"/>
      <c r="D81" s="15" t="n"/>
      <c r="E81" s="18" t="n"/>
      <c r="F81" s="17" t="n"/>
      <c r="G81" s="17" t="n"/>
    </row>
    <row r="82">
      <c r="A82" s="17" t="n"/>
      <c r="B82" s="17" t="n"/>
      <c r="C82" s="17" t="n"/>
      <c r="D82" s="15" t="n"/>
      <c r="E82" s="18" t="n"/>
      <c r="F82" s="17" t="n"/>
      <c r="G82" s="17" t="n"/>
    </row>
    <row r="83">
      <c r="A83" s="17" t="n"/>
      <c r="B83" s="17" t="n"/>
      <c r="C83" s="17" t="n"/>
      <c r="D83" s="15" t="n"/>
      <c r="E83" s="18" t="n"/>
      <c r="F83" s="17" t="n"/>
      <c r="G83" s="17" t="n"/>
    </row>
    <row r="84">
      <c r="A84" s="17" t="n"/>
      <c r="B84" s="17" t="n"/>
      <c r="C84" s="17" t="n"/>
      <c r="D84" s="15" t="n"/>
      <c r="E84" s="18" t="n"/>
      <c r="F84" s="17" t="n"/>
      <c r="G84" s="17" t="n"/>
    </row>
    <row r="85">
      <c r="A85" s="17" t="n"/>
      <c r="B85" s="17" t="n"/>
      <c r="C85" s="17" t="n"/>
      <c r="D85" s="15" t="n"/>
      <c r="E85" s="18" t="n"/>
      <c r="F85" s="17" t="n"/>
      <c r="G85" s="17" t="n"/>
    </row>
    <row r="86">
      <c r="A86" s="17" t="n"/>
      <c r="B86" s="17" t="n"/>
      <c r="C86" s="17" t="n"/>
      <c r="D86" s="15" t="n"/>
      <c r="E86" s="18" t="n"/>
      <c r="F86" s="17" t="n"/>
      <c r="G86" s="17" t="n"/>
    </row>
    <row r="87">
      <c r="A87" s="17" t="n"/>
      <c r="B87" s="17" t="n"/>
      <c r="C87" s="17" t="n"/>
      <c r="D87" s="15" t="n"/>
      <c r="E87" s="18" t="n"/>
      <c r="F87" s="17" t="n"/>
      <c r="G87" s="17" t="n"/>
    </row>
    <row r="88">
      <c r="A88" s="17" t="n"/>
      <c r="B88" s="17" t="n"/>
      <c r="C88" s="17" t="n"/>
      <c r="D88" s="15" t="n"/>
      <c r="E88" s="18" t="n"/>
      <c r="F88" s="17" t="n"/>
      <c r="G88" s="17" t="n"/>
    </row>
    <row r="89">
      <c r="A89" s="17" t="n"/>
      <c r="B89" s="17" t="n"/>
      <c r="C89" s="17" t="n"/>
      <c r="D89" s="15" t="n"/>
      <c r="E89" s="18" t="n"/>
      <c r="F89" s="17" t="n"/>
      <c r="G89" s="17" t="n"/>
    </row>
    <row r="90">
      <c r="A90" s="17" t="n"/>
      <c r="B90" s="17" t="n"/>
      <c r="C90" s="17" t="n"/>
      <c r="D90" s="15" t="n"/>
      <c r="E90" s="18" t="n"/>
      <c r="F90" s="17" t="n"/>
      <c r="G90" s="17" t="n"/>
    </row>
    <row r="91">
      <c r="A91" s="17" t="n"/>
      <c r="B91" s="17" t="n"/>
      <c r="C91" s="17" t="n"/>
      <c r="D91" s="15" t="n"/>
      <c r="E91" s="18" t="n"/>
      <c r="F91" s="17" t="n"/>
      <c r="G91" s="17" t="n"/>
    </row>
    <row r="92">
      <c r="A92" s="17" t="n"/>
      <c r="B92" s="17" t="n"/>
      <c r="C92" s="17" t="n"/>
      <c r="D92" s="15" t="n"/>
      <c r="E92" s="18" t="n"/>
      <c r="F92" s="17" t="n"/>
      <c r="G92" s="17" t="n"/>
    </row>
    <row r="93">
      <c r="A93" s="17" t="n"/>
      <c r="B93" s="17" t="n"/>
      <c r="C93" s="17" t="n"/>
      <c r="D93" s="15" t="n"/>
      <c r="E93" s="18" t="n"/>
      <c r="F93" s="17" t="n"/>
      <c r="G93" s="17" t="n"/>
    </row>
    <row r="94">
      <c r="A94" s="17" t="n"/>
      <c r="B94" s="17" t="n"/>
      <c r="C94" s="17" t="n"/>
      <c r="D94" s="15" t="n"/>
      <c r="E94" s="18" t="n"/>
      <c r="F94" s="17" t="n"/>
      <c r="G94" s="17" t="n"/>
    </row>
    <row r="95">
      <c r="A95" s="17" t="n"/>
      <c r="B95" s="17" t="n"/>
      <c r="C95" s="17" t="n"/>
      <c r="D95" s="15" t="n"/>
      <c r="E95" s="18" t="n"/>
      <c r="F95" s="17" t="n"/>
      <c r="G95" s="17" t="n"/>
    </row>
    <row r="96">
      <c r="A96" s="17" t="n"/>
      <c r="B96" s="17" t="n"/>
      <c r="C96" s="17" t="n"/>
      <c r="D96" s="15" t="n"/>
      <c r="E96" s="18" t="n"/>
      <c r="F96" s="17" t="n"/>
      <c r="G96" s="17" t="n"/>
    </row>
    <row r="97">
      <c r="A97" s="17" t="n"/>
      <c r="B97" s="17" t="n"/>
      <c r="C97" s="17" t="n"/>
      <c r="D97" s="15" t="n"/>
      <c r="E97" s="18" t="n"/>
      <c r="F97" s="17" t="n"/>
      <c r="G97" s="17" t="n"/>
    </row>
    <row r="98">
      <c r="A98" s="17" t="n"/>
      <c r="B98" s="17" t="n"/>
      <c r="C98" s="17" t="n"/>
      <c r="D98" s="15" t="n"/>
      <c r="E98" s="18" t="n"/>
      <c r="F98" s="17" t="n"/>
      <c r="G98" s="17" t="n"/>
    </row>
    <row r="99">
      <c r="A99" s="17" t="n"/>
      <c r="B99" s="17" t="n"/>
      <c r="C99" s="17" t="n"/>
      <c r="D99" s="15" t="n"/>
      <c r="E99" s="18" t="n"/>
      <c r="F99" s="17" t="n"/>
      <c r="G99" s="17" t="n"/>
    </row>
    <row r="100">
      <c r="A100" s="17" t="n"/>
      <c r="B100" s="17" t="n"/>
      <c r="C100" s="17" t="n"/>
      <c r="D100" s="15" t="n"/>
      <c r="E100" s="18" t="n"/>
      <c r="F100" s="17" t="n"/>
      <c r="G100" s="17" t="n"/>
    </row>
    <row r="101">
      <c r="A101" s="17" t="n"/>
      <c r="B101" s="17" t="n"/>
      <c r="C101" s="17" t="n"/>
      <c r="D101" s="15" t="n"/>
      <c r="E101" s="18" t="n"/>
      <c r="F101" s="17" t="n"/>
      <c r="G101" s="17" t="n"/>
    </row>
    <row r="102">
      <c r="A102" s="17" t="n"/>
      <c r="B102" s="17" t="n"/>
      <c r="C102" s="17" t="n"/>
      <c r="D102" s="15" t="n"/>
      <c r="E102" s="18" t="n"/>
      <c r="F102" s="17" t="n"/>
      <c r="G102" s="17" t="n"/>
    </row>
    <row r="103">
      <c r="A103" s="17" t="n"/>
      <c r="B103" s="17" t="n"/>
      <c r="C103" s="17" t="n"/>
      <c r="D103" s="15" t="n"/>
      <c r="E103" s="18" t="n"/>
      <c r="F103" s="17" t="n"/>
      <c r="G103" s="17" t="n"/>
    </row>
    <row r="104">
      <c r="A104" s="17" t="n"/>
      <c r="B104" s="17" t="n"/>
      <c r="C104" s="17" t="n"/>
      <c r="D104" s="15" t="n"/>
      <c r="E104" s="18" t="n"/>
      <c r="F104" s="17" t="n"/>
      <c r="G104" s="17" t="n"/>
    </row>
    <row r="107">
      <c r="A107" s="11" t="inlineStr">
        <is>
          <t>EXPENSE SUMMARY BY CATEGORY</t>
        </is>
      </c>
    </row>
    <row r="108">
      <c r="A108" s="13" t="inlineStr">
        <is>
          <t>Category</t>
        </is>
      </c>
      <c r="B108" s="13" t="inlineStr">
        <is>
          <t>Total</t>
        </is>
      </c>
      <c r="C108" s="13" t="inlineStr">
        <is>
          <t>% of Total</t>
        </is>
      </c>
    </row>
    <row r="109">
      <c r="A109" s="21" t="inlineStr">
        <is>
          <t>Housing</t>
        </is>
      </c>
      <c r="B109" s="20">
        <f>SUMIFS(D5:D104,A5:A104,A109)</f>
        <v/>
      </c>
      <c r="C109" s="22">
        <f>IF(B124=0,0,B109/B124)</f>
        <v/>
      </c>
    </row>
    <row r="110">
      <c r="A110" s="21" t="inlineStr">
        <is>
          <t>Transport</t>
        </is>
      </c>
      <c r="B110" s="20">
        <f>SUMIFS(D5:D104,A5:A104,A110)</f>
        <v/>
      </c>
      <c r="C110" s="22">
        <f>IF(B124=0,0,B110/B124)</f>
        <v/>
      </c>
    </row>
    <row r="111">
      <c r="A111" s="21" t="inlineStr">
        <is>
          <t>Food &amp; Groceries</t>
        </is>
      </c>
      <c r="B111" s="20">
        <f>SUMIFS(D5:D104,A5:A104,A111)</f>
        <v/>
      </c>
      <c r="C111" s="22">
        <f>IF(B124=0,0,B111/B124)</f>
        <v/>
      </c>
    </row>
    <row r="112">
      <c r="A112" s="21" t="inlineStr">
        <is>
          <t>Insurance</t>
        </is>
      </c>
      <c r="B112" s="20">
        <f>SUMIFS(D5:D104,A5:A104,A112)</f>
        <v/>
      </c>
      <c r="C112" s="22">
        <f>IF(B124=0,0,B112/B124)</f>
        <v/>
      </c>
    </row>
    <row r="113">
      <c r="A113" s="21" t="inlineStr">
        <is>
          <t>Utilities</t>
        </is>
      </c>
      <c r="B113" s="20">
        <f>SUMIFS(D5:D104,A5:A104,A113)</f>
        <v/>
      </c>
      <c r="C113" s="22">
        <f>IF(B124=0,0,B113/B124)</f>
        <v/>
      </c>
    </row>
    <row r="114">
      <c r="A114" s="21" t="inlineStr">
        <is>
          <t>Entertainment</t>
        </is>
      </c>
      <c r="B114" s="20">
        <f>SUMIFS(D5:D104,A5:A104,A114)</f>
        <v/>
      </c>
      <c r="C114" s="22">
        <f>IF(B124=0,0,B114/B124)</f>
        <v/>
      </c>
    </row>
    <row r="115">
      <c r="A115" s="21" t="inlineStr">
        <is>
          <t>Healthcare</t>
        </is>
      </c>
      <c r="B115" s="20">
        <f>SUMIFS(D5:D104,A5:A104,A115)</f>
        <v/>
      </c>
      <c r="C115" s="22">
        <f>IF(B124=0,0,B115/B124)</f>
        <v/>
      </c>
    </row>
    <row r="116">
      <c r="A116" s="21" t="inlineStr">
        <is>
          <t>Education</t>
        </is>
      </c>
      <c r="B116" s="20">
        <f>SUMIFS(D5:D104,A5:A104,A116)</f>
        <v/>
      </c>
      <c r="C116" s="22">
        <f>IF(B124=0,0,B116/B124)</f>
        <v/>
      </c>
    </row>
    <row r="117">
      <c r="A117" s="21" t="inlineStr">
        <is>
          <t>Clothing</t>
        </is>
      </c>
      <c r="B117" s="20">
        <f>SUMIFS(D5:D104,A5:A104,A117)</f>
        <v/>
      </c>
      <c r="C117" s="22">
        <f>IF(B124=0,0,B117/B124)</f>
        <v/>
      </c>
    </row>
    <row r="118">
      <c r="A118" s="21" t="inlineStr">
        <is>
          <t>Personal Care</t>
        </is>
      </c>
      <c r="B118" s="20">
        <f>SUMIFS(D5:D104,A5:A104,A118)</f>
        <v/>
      </c>
      <c r="C118" s="22">
        <f>IF(B124=0,0,B118/B124)</f>
        <v/>
      </c>
    </row>
    <row r="119">
      <c r="A119" s="21" t="inlineStr">
        <is>
          <t>Debt Payments</t>
        </is>
      </c>
      <c r="B119" s="20">
        <f>SUMIFS(D5:D104,A5:A104,A119)</f>
        <v/>
      </c>
      <c r="C119" s="22">
        <f>IF(B124=0,0,B119/B124)</f>
        <v/>
      </c>
    </row>
    <row r="120">
      <c r="A120" s="21" t="inlineStr">
        <is>
          <t>Subscriptions</t>
        </is>
      </c>
      <c r="B120" s="20">
        <f>SUMIFS(D5:D104,A5:A104,A120)</f>
        <v/>
      </c>
      <c r="C120" s="22">
        <f>IF(B124=0,0,B120/B124)</f>
        <v/>
      </c>
    </row>
    <row r="121">
      <c r="A121" s="21" t="inlineStr">
        <is>
          <t>Donations</t>
        </is>
      </c>
      <c r="B121" s="20">
        <f>SUMIFS(D5:D104,A5:A104,A121)</f>
        <v/>
      </c>
      <c r="C121" s="22">
        <f>IF(B124=0,0,B121/B124)</f>
        <v/>
      </c>
    </row>
    <row r="122">
      <c r="A122" s="21" t="inlineStr">
        <is>
          <t>Childcare</t>
        </is>
      </c>
      <c r="B122" s="20">
        <f>SUMIFS(D5:D104,A5:A104,A122)</f>
        <v/>
      </c>
      <c r="C122" s="22">
        <f>IF(B124=0,0,B122/B124)</f>
        <v/>
      </c>
    </row>
    <row r="123">
      <c r="A123" s="21" t="inlineStr">
        <is>
          <t>Other</t>
        </is>
      </c>
      <c r="B123" s="20">
        <f>SUMIFS(D5:D104,A5:A104,A123)</f>
        <v/>
      </c>
      <c r="C123" s="22">
        <f>IF(B124=0,0,B123/B124)</f>
        <v/>
      </c>
    </row>
    <row r="124">
      <c r="A124" s="23" t="inlineStr">
        <is>
          <t>TOTAL EXPENSES</t>
        </is>
      </c>
      <c r="B124" s="24">
        <f>SUM(D5:D104)</f>
        <v/>
      </c>
    </row>
    <row r="126">
      <c r="A126" s="23" t="inlineStr">
        <is>
          <t>Total Essential Expenses</t>
        </is>
      </c>
      <c r="B126" s="20">
        <f>SUMIFS(D5:D104,A5:A104,"Housing")+SUMIFS(D5:D104,A5:A104,"Food &amp; Groceries")+SUMIFS(D5:D104,A5:A104,"Utilities")+SUMIFS(D5:D104,A5:A104,"Insurance")+SUMIFS(D5:D104,A5:A104,"Healthcare")+SUMIFS(D5:D104,A5:A104,"Transport")</f>
        <v/>
      </c>
    </row>
  </sheetData>
  <sheetProtection selectLockedCells="0" selectUnlockedCells="0" sheet="1" objects="0" insertRows="1" insertHyperlinks="1" autoFilter="1" scenarios="0" formatColumns="1" deleteColumns="1" insertColumns="1" pivotTables="1" deleteRows="1" formatCells="1" formatRows="1" sort="1" password="CE4B"/>
  <mergeCells count="3">
    <mergeCell ref="A107:D107"/>
    <mergeCell ref="A2:G2"/>
    <mergeCell ref="A1:G1"/>
  </mergeCells>
  <conditionalFormatting sqref="B109:B123">
    <cfRule type="cellIs" priority="1" operator="greaterThan" dxfId="2" stopIfTrue="1">
      <formula>5000</formula>
    </cfRule>
  </conditionalFormatting>
  <dataValidations count="3">
    <dataValidation sqref="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showDropDown="0" showInputMessage="0" showErrorMessage="0" allowBlank="1" type="list">
      <formula1>"Housing,Transport,Food &amp; Groceries,Insurance,Utilities,Entertainment,Healthcare,Education,Clothing,Personal Care,Debt Payments,Subscriptions,Donations,Childcare,Other"</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"Fixed,Variable"</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1" type="list">
      <formula1>"Me,Wife,Joint"</formula1>
    </dataValidation>
  </dataValidations>
  <pageMargins left="0.75" right="0.75" top="1" bottom="1" header="0.5" footer="0.5"/>
</worksheet>
</file>

<file path=xl/worksheets/sheet4.xml><?xml version="1.0" encoding="utf-8"?>
<worksheet xmlns="http://schemas.openxmlformats.org/spreadsheetml/2006/main">
  <sheetPr>
    <tabColor rgb="00E65100"/>
    <outlinePr summaryBelow="1" summaryRight="1"/>
    <pageSetUpPr/>
  </sheetPr>
  <dimension ref="A1:M28"/>
  <sheetViews>
    <sheetView workbookViewId="0">
      <selection activeCell="A1" sqref="A1"/>
    </sheetView>
  </sheetViews>
  <sheetFormatPr baseColWidth="8" defaultRowHeight="15"/>
  <cols>
    <col width="18" customWidth="1" min="1" max="1"/>
    <col width="20" customWidth="1" min="2" max="2"/>
    <col width="10" customWidth="1" min="3" max="3"/>
    <col width="18" customWidth="1" min="4" max="4"/>
    <col width="20" customWidth="1" min="5" max="5"/>
    <col width="14" customWidth="1" min="6" max="6"/>
    <col width="12" customWidth="1" min="7" max="7"/>
    <col width="14" customWidth="1" min="8" max="8"/>
    <col width="18" customWidth="1" min="9" max="9"/>
    <col width="18" customWidth="1" min="10" max="10"/>
    <col width="18" customWidth="1" min="11" max="11"/>
    <col width="18" customWidth="1" min="12" max="12"/>
    <col width="18" customWidth="1" min="13" max="13"/>
  </cols>
  <sheetData>
    <row r="1" ht="30" customHeight="1">
      <c r="A1" s="1" t="inlineStr">
        <is>
          <t>Debt Tracker</t>
        </is>
      </c>
    </row>
    <row r="2" ht="20" customHeight="1">
      <c r="A2" s="2" t="inlineStr">
        <is>
          <t>Track all debts below. Interest rate auto-calculates from Prime + Margin unless you override. All calculations are automatic.</t>
        </is>
      </c>
    </row>
    <row r="4">
      <c r="A4" s="16" t="inlineStr">
        <is>
          <t>Debt Type</t>
        </is>
      </c>
      <c r="B4" s="16" t="inlineStr">
        <is>
          <t>Lender</t>
        </is>
      </c>
      <c r="C4" s="16" t="inlineStr">
        <is>
          <t>Owner</t>
        </is>
      </c>
      <c r="D4" s="16" t="inlineStr">
        <is>
          <t>Original Amount</t>
        </is>
      </c>
      <c r="E4" s="16" t="inlineStr">
        <is>
          <t>Outstanding Balance</t>
        </is>
      </c>
      <c r="F4" s="16" t="inlineStr">
        <is>
          <t>Rate Mode</t>
        </is>
      </c>
      <c r="G4" s="16" t="inlineStr">
        <is>
          <t>Margin (%)</t>
        </is>
      </c>
      <c r="H4" s="16" t="inlineStr">
        <is>
          <t>Interest Rate</t>
        </is>
      </c>
      <c r="I4" s="16" t="inlineStr">
        <is>
          <t>Monthly Payment</t>
        </is>
      </c>
      <c r="J4" s="16" t="inlineStr">
        <is>
          <t>Remaining Term (mo)</t>
        </is>
      </c>
      <c r="K4" s="16" t="inlineStr">
        <is>
          <t>Monthly Interest</t>
        </is>
      </c>
      <c r="L4" s="16" t="inlineStr">
        <is>
          <t>Total Interest Left</t>
        </is>
      </c>
      <c r="M4" s="16" t="inlineStr">
        <is>
          <t>Payoff Progress (%)</t>
        </is>
      </c>
    </row>
    <row r="5">
      <c r="A5" s="17" t="n"/>
      <c r="B5" s="17" t="n"/>
      <c r="C5" s="17" t="n"/>
      <c r="D5" s="15" t="n"/>
      <c r="E5" s="15" t="n"/>
      <c r="F5" s="17" t="n"/>
      <c r="G5" s="25" t="n"/>
      <c r="H5" s="22">
        <f>IF(F5="Manual",G5,Settings!$C$4+G5)</f>
        <v/>
      </c>
      <c r="I5" s="15" t="n"/>
      <c r="J5" s="17" t="n"/>
      <c r="K5" s="20">
        <f>IF(E5=0,0,E5*H5/12)</f>
        <v/>
      </c>
      <c r="L5" s="20">
        <f>IF(J5=0,0,K5*J5)</f>
        <v/>
      </c>
      <c r="M5" s="22">
        <f>IF(D5=0,0,1-(E5/D5))</f>
        <v/>
      </c>
    </row>
    <row r="6">
      <c r="A6" s="17" t="n"/>
      <c r="B6" s="17" t="n"/>
      <c r="C6" s="17" t="n"/>
      <c r="D6" s="15" t="n"/>
      <c r="E6" s="15" t="n"/>
      <c r="F6" s="17" t="n"/>
      <c r="G6" s="25" t="n"/>
      <c r="H6" s="22">
        <f>IF(F6="Manual",G6,Settings!$C$4+G6)</f>
        <v/>
      </c>
      <c r="I6" s="15" t="n"/>
      <c r="J6" s="17" t="n"/>
      <c r="K6" s="20">
        <f>IF(E6=0,0,E6*H6/12)</f>
        <v/>
      </c>
      <c r="L6" s="20">
        <f>IF(J6=0,0,K6*J6)</f>
        <v/>
      </c>
      <c r="M6" s="22">
        <f>IF(D6=0,0,1-(E6/D6))</f>
        <v/>
      </c>
    </row>
    <row r="7">
      <c r="A7" s="17" t="n"/>
      <c r="B7" s="17" t="n"/>
      <c r="C7" s="17" t="n"/>
      <c r="D7" s="15" t="n"/>
      <c r="E7" s="15" t="n"/>
      <c r="F7" s="17" t="n"/>
      <c r="G7" s="25" t="n"/>
      <c r="H7" s="22">
        <f>IF(F7="Manual",G7,Settings!$C$4+G7)</f>
        <v/>
      </c>
      <c r="I7" s="15" t="n"/>
      <c r="J7" s="17" t="n"/>
      <c r="K7" s="20">
        <f>IF(E7=0,0,E7*H7/12)</f>
        <v/>
      </c>
      <c r="L7" s="20">
        <f>IF(J7=0,0,K7*J7)</f>
        <v/>
      </c>
      <c r="M7" s="22">
        <f>IF(D7=0,0,1-(E7/D7))</f>
        <v/>
      </c>
    </row>
    <row r="8">
      <c r="A8" s="17" t="n"/>
      <c r="B8" s="17" t="n"/>
      <c r="C8" s="17" t="n"/>
      <c r="D8" s="15" t="n"/>
      <c r="E8" s="15" t="n"/>
      <c r="F8" s="17" t="n"/>
      <c r="G8" s="25" t="n"/>
      <c r="H8" s="22">
        <f>IF(F8="Manual",G8,Settings!$C$4+G8)</f>
        <v/>
      </c>
      <c r="I8" s="15" t="n"/>
      <c r="J8" s="17" t="n"/>
      <c r="K8" s="20">
        <f>IF(E8=0,0,E8*H8/12)</f>
        <v/>
      </c>
      <c r="L8" s="20">
        <f>IF(J8=0,0,K8*J8)</f>
        <v/>
      </c>
      <c r="M8" s="22">
        <f>IF(D8=0,0,1-(E8/D8))</f>
        <v/>
      </c>
    </row>
    <row r="9">
      <c r="A9" s="17" t="n"/>
      <c r="B9" s="17" t="n"/>
      <c r="C9" s="17" t="n"/>
      <c r="D9" s="15" t="n"/>
      <c r="E9" s="15" t="n"/>
      <c r="F9" s="17" t="n"/>
      <c r="G9" s="25" t="n"/>
      <c r="H9" s="22">
        <f>IF(F9="Manual",G9,Settings!$C$4+G9)</f>
        <v/>
      </c>
      <c r="I9" s="15" t="n"/>
      <c r="J9" s="17" t="n"/>
      <c r="K9" s="20">
        <f>IF(E9=0,0,E9*H9/12)</f>
        <v/>
      </c>
      <c r="L9" s="20">
        <f>IF(J9=0,0,K9*J9)</f>
        <v/>
      </c>
      <c r="M9" s="22">
        <f>IF(D9=0,0,1-(E9/D9))</f>
        <v/>
      </c>
    </row>
    <row r="10">
      <c r="A10" s="17" t="n"/>
      <c r="B10" s="17" t="n"/>
      <c r="C10" s="17" t="n"/>
      <c r="D10" s="15" t="n"/>
      <c r="E10" s="15" t="n"/>
      <c r="F10" s="17" t="n"/>
      <c r="G10" s="25" t="n"/>
      <c r="H10" s="22">
        <f>IF(F10="Manual",G10,Settings!$C$4+G10)</f>
        <v/>
      </c>
      <c r="I10" s="15" t="n"/>
      <c r="J10" s="17" t="n"/>
      <c r="K10" s="20">
        <f>IF(E10=0,0,E10*H10/12)</f>
        <v/>
      </c>
      <c r="L10" s="20">
        <f>IF(J10=0,0,K10*J10)</f>
        <v/>
      </c>
      <c r="M10" s="22">
        <f>IF(D10=0,0,1-(E10/D10))</f>
        <v/>
      </c>
    </row>
    <row r="11">
      <c r="A11" s="17" t="n"/>
      <c r="B11" s="17" t="n"/>
      <c r="C11" s="17" t="n"/>
      <c r="D11" s="15" t="n"/>
      <c r="E11" s="15" t="n"/>
      <c r="F11" s="17" t="n"/>
      <c r="G11" s="25" t="n"/>
      <c r="H11" s="22">
        <f>IF(F11="Manual",G11,Settings!$C$4+G11)</f>
        <v/>
      </c>
      <c r="I11" s="15" t="n"/>
      <c r="J11" s="17" t="n"/>
      <c r="K11" s="20">
        <f>IF(E11=0,0,E11*H11/12)</f>
        <v/>
      </c>
      <c r="L11" s="20">
        <f>IF(J11=0,0,K11*J11)</f>
        <v/>
      </c>
      <c r="M11" s="22">
        <f>IF(D11=0,0,1-(E11/D11))</f>
        <v/>
      </c>
    </row>
    <row r="12">
      <c r="A12" s="17" t="n"/>
      <c r="B12" s="17" t="n"/>
      <c r="C12" s="17" t="n"/>
      <c r="D12" s="15" t="n"/>
      <c r="E12" s="15" t="n"/>
      <c r="F12" s="17" t="n"/>
      <c r="G12" s="25" t="n"/>
      <c r="H12" s="22">
        <f>IF(F12="Manual",G12,Settings!$C$4+G12)</f>
        <v/>
      </c>
      <c r="I12" s="15" t="n"/>
      <c r="J12" s="17" t="n"/>
      <c r="K12" s="20">
        <f>IF(E12=0,0,E12*H12/12)</f>
        <v/>
      </c>
      <c r="L12" s="20">
        <f>IF(J12=0,0,K12*J12)</f>
        <v/>
      </c>
      <c r="M12" s="22">
        <f>IF(D12=0,0,1-(E12/D12))</f>
        <v/>
      </c>
    </row>
    <row r="13">
      <c r="A13" s="17" t="n"/>
      <c r="B13" s="17" t="n"/>
      <c r="C13" s="17" t="n"/>
      <c r="D13" s="15" t="n"/>
      <c r="E13" s="15" t="n"/>
      <c r="F13" s="17" t="n"/>
      <c r="G13" s="25" t="n"/>
      <c r="H13" s="22">
        <f>IF(F13="Manual",G13,Settings!$C$4+G13)</f>
        <v/>
      </c>
      <c r="I13" s="15" t="n"/>
      <c r="J13" s="17" t="n"/>
      <c r="K13" s="20">
        <f>IF(E13=0,0,E13*H13/12)</f>
        <v/>
      </c>
      <c r="L13" s="20">
        <f>IF(J13=0,0,K13*J13)</f>
        <v/>
      </c>
      <c r="M13" s="22">
        <f>IF(D13=0,0,1-(E13/D13))</f>
        <v/>
      </c>
    </row>
    <row r="14">
      <c r="A14" s="17" t="n"/>
      <c r="B14" s="17" t="n"/>
      <c r="C14" s="17" t="n"/>
      <c r="D14" s="15" t="n"/>
      <c r="E14" s="15" t="n"/>
      <c r="F14" s="17" t="n"/>
      <c r="G14" s="25" t="n"/>
      <c r="H14" s="22">
        <f>IF(F14="Manual",G14,Settings!$C$4+G14)</f>
        <v/>
      </c>
      <c r="I14" s="15" t="n"/>
      <c r="J14" s="17" t="n"/>
      <c r="K14" s="20">
        <f>IF(E14=0,0,E14*H14/12)</f>
        <v/>
      </c>
      <c r="L14" s="20">
        <f>IF(J14=0,0,K14*J14)</f>
        <v/>
      </c>
      <c r="M14" s="22">
        <f>IF(D14=0,0,1-(E14/D14))</f>
        <v/>
      </c>
    </row>
    <row r="15">
      <c r="A15" s="17" t="n"/>
      <c r="B15" s="17" t="n"/>
      <c r="C15" s="17" t="n"/>
      <c r="D15" s="15" t="n"/>
      <c r="E15" s="15" t="n"/>
      <c r="F15" s="17" t="n"/>
      <c r="G15" s="25" t="n"/>
      <c r="H15" s="22">
        <f>IF(F15="Manual",G15,Settings!$C$4+G15)</f>
        <v/>
      </c>
      <c r="I15" s="15" t="n"/>
      <c r="J15" s="17" t="n"/>
      <c r="K15" s="20">
        <f>IF(E15=0,0,E15*H15/12)</f>
        <v/>
      </c>
      <c r="L15" s="20">
        <f>IF(J15=0,0,K15*J15)</f>
        <v/>
      </c>
      <c r="M15" s="22">
        <f>IF(D15=0,0,1-(E15/D15))</f>
        <v/>
      </c>
    </row>
    <row r="16">
      <c r="A16" s="17" t="n"/>
      <c r="B16" s="17" t="n"/>
      <c r="C16" s="17" t="n"/>
      <c r="D16" s="15" t="n"/>
      <c r="E16" s="15" t="n"/>
      <c r="F16" s="17" t="n"/>
      <c r="G16" s="25" t="n"/>
      <c r="H16" s="22">
        <f>IF(F16="Manual",G16,Settings!$C$4+G16)</f>
        <v/>
      </c>
      <c r="I16" s="15" t="n"/>
      <c r="J16" s="17" t="n"/>
      <c r="K16" s="20">
        <f>IF(E16=0,0,E16*H16/12)</f>
        <v/>
      </c>
      <c r="L16" s="20">
        <f>IF(J16=0,0,K16*J16)</f>
        <v/>
      </c>
      <c r="M16" s="22">
        <f>IF(D16=0,0,1-(E16/D16))</f>
        <v/>
      </c>
    </row>
    <row r="17">
      <c r="A17" s="17" t="n"/>
      <c r="B17" s="17" t="n"/>
      <c r="C17" s="17" t="n"/>
      <c r="D17" s="15" t="n"/>
      <c r="E17" s="15" t="n"/>
      <c r="F17" s="17" t="n"/>
      <c r="G17" s="25" t="n"/>
      <c r="H17" s="22">
        <f>IF(F17="Manual",G17,Settings!$C$4+G17)</f>
        <v/>
      </c>
      <c r="I17" s="15" t="n"/>
      <c r="J17" s="17" t="n"/>
      <c r="K17" s="20">
        <f>IF(E17=0,0,E17*H17/12)</f>
        <v/>
      </c>
      <c r="L17" s="20">
        <f>IF(J17=0,0,K17*J17)</f>
        <v/>
      </c>
      <c r="M17" s="22">
        <f>IF(D17=0,0,1-(E17/D17))</f>
        <v/>
      </c>
    </row>
    <row r="18">
      <c r="A18" s="17" t="n"/>
      <c r="B18" s="17" t="n"/>
      <c r="C18" s="17" t="n"/>
      <c r="D18" s="15" t="n"/>
      <c r="E18" s="15" t="n"/>
      <c r="F18" s="17" t="n"/>
      <c r="G18" s="25" t="n"/>
      <c r="H18" s="22">
        <f>IF(F18="Manual",G18,Settings!$C$4+G18)</f>
        <v/>
      </c>
      <c r="I18" s="15" t="n"/>
      <c r="J18" s="17" t="n"/>
      <c r="K18" s="20">
        <f>IF(E18=0,0,E18*H18/12)</f>
        <v/>
      </c>
      <c r="L18" s="20">
        <f>IF(J18=0,0,K18*J18)</f>
        <v/>
      </c>
      <c r="M18" s="22">
        <f>IF(D18=0,0,1-(E18/D18))</f>
        <v/>
      </c>
    </row>
    <row r="19">
      <c r="A19" s="17" t="n"/>
      <c r="B19" s="17" t="n"/>
      <c r="C19" s="17" t="n"/>
      <c r="D19" s="15" t="n"/>
      <c r="E19" s="15" t="n"/>
      <c r="F19" s="17" t="n"/>
      <c r="G19" s="25" t="n"/>
      <c r="H19" s="22">
        <f>IF(F19="Manual",G19,Settings!$C$4+G19)</f>
        <v/>
      </c>
      <c r="I19" s="15" t="n"/>
      <c r="J19" s="17" t="n"/>
      <c r="K19" s="20">
        <f>IF(E19=0,0,E19*H19/12)</f>
        <v/>
      </c>
      <c r="L19" s="20">
        <f>IF(J19=0,0,K19*J19)</f>
        <v/>
      </c>
      <c r="M19" s="22">
        <f>IF(D19=0,0,1-(E19/D19))</f>
        <v/>
      </c>
    </row>
    <row r="20">
      <c r="A20" s="17" t="n"/>
      <c r="B20" s="17" t="n"/>
      <c r="C20" s="17" t="n"/>
      <c r="D20" s="15" t="n"/>
      <c r="E20" s="15" t="n"/>
      <c r="F20" s="17" t="n"/>
      <c r="G20" s="25" t="n"/>
      <c r="H20" s="22">
        <f>IF(F20="Manual",G20,Settings!$C$4+G20)</f>
        <v/>
      </c>
      <c r="I20" s="15" t="n"/>
      <c r="J20" s="17" t="n"/>
      <c r="K20" s="20">
        <f>IF(E20=0,0,E20*H20/12)</f>
        <v/>
      </c>
      <c r="L20" s="20">
        <f>IF(J20=0,0,K20*J20)</f>
        <v/>
      </c>
      <c r="M20" s="22">
        <f>IF(D20=0,0,1-(E20/D20))</f>
        <v/>
      </c>
    </row>
    <row r="21">
      <c r="A21" s="17" t="n"/>
      <c r="B21" s="17" t="n"/>
      <c r="C21" s="17" t="n"/>
      <c r="D21" s="15" t="n"/>
      <c r="E21" s="15" t="n"/>
      <c r="F21" s="17" t="n"/>
      <c r="G21" s="25" t="n"/>
      <c r="H21" s="22">
        <f>IF(F21="Manual",G21,Settings!$C$4+G21)</f>
        <v/>
      </c>
      <c r="I21" s="15" t="n"/>
      <c r="J21" s="17" t="n"/>
      <c r="K21" s="20">
        <f>IF(E21=0,0,E21*H21/12)</f>
        <v/>
      </c>
      <c r="L21" s="20">
        <f>IF(J21=0,0,K21*J21)</f>
        <v/>
      </c>
      <c r="M21" s="22">
        <f>IF(D21=0,0,1-(E21/D21))</f>
        <v/>
      </c>
    </row>
    <row r="22">
      <c r="A22" s="17" t="n"/>
      <c r="B22" s="17" t="n"/>
      <c r="C22" s="17" t="n"/>
      <c r="D22" s="15" t="n"/>
      <c r="E22" s="15" t="n"/>
      <c r="F22" s="17" t="n"/>
      <c r="G22" s="25" t="n"/>
      <c r="H22" s="22">
        <f>IF(F22="Manual",G22,Settings!$C$4+G22)</f>
        <v/>
      </c>
      <c r="I22" s="15" t="n"/>
      <c r="J22" s="17" t="n"/>
      <c r="K22" s="20">
        <f>IF(E22=0,0,E22*H22/12)</f>
        <v/>
      </c>
      <c r="L22" s="20">
        <f>IF(J22=0,0,K22*J22)</f>
        <v/>
      </c>
      <c r="M22" s="22">
        <f>IF(D22=0,0,1-(E22/D22))</f>
        <v/>
      </c>
    </row>
    <row r="23">
      <c r="A23" s="17" t="n"/>
      <c r="B23" s="17" t="n"/>
      <c r="C23" s="17" t="n"/>
      <c r="D23" s="15" t="n"/>
      <c r="E23" s="15" t="n"/>
      <c r="F23" s="17" t="n"/>
      <c r="G23" s="25" t="n"/>
      <c r="H23" s="22">
        <f>IF(F23="Manual",G23,Settings!$C$4+G23)</f>
        <v/>
      </c>
      <c r="I23" s="15" t="n"/>
      <c r="J23" s="17" t="n"/>
      <c r="K23" s="20">
        <f>IF(E23=0,0,E23*H23/12)</f>
        <v/>
      </c>
      <c r="L23" s="20">
        <f>IF(J23=0,0,K23*J23)</f>
        <v/>
      </c>
      <c r="M23" s="22">
        <f>IF(D23=0,0,1-(E23/D23))</f>
        <v/>
      </c>
    </row>
    <row r="24">
      <c r="A24" s="17" t="n"/>
      <c r="B24" s="17" t="n"/>
      <c r="C24" s="17" t="n"/>
      <c r="D24" s="15" t="n"/>
      <c r="E24" s="15" t="n"/>
      <c r="F24" s="17" t="n"/>
      <c r="G24" s="25" t="n"/>
      <c r="H24" s="22">
        <f>IF(F24="Manual",G24,Settings!$C$4+G24)</f>
        <v/>
      </c>
      <c r="I24" s="15" t="n"/>
      <c r="J24" s="17" t="n"/>
      <c r="K24" s="20">
        <f>IF(E24=0,0,E24*H24/12)</f>
        <v/>
      </c>
      <c r="L24" s="20">
        <f>IF(J24=0,0,K24*J24)</f>
        <v/>
      </c>
      <c r="M24" s="22">
        <f>IF(D24=0,0,1-(E24/D24))</f>
        <v/>
      </c>
    </row>
    <row r="26">
      <c r="A26" s="23" t="inlineStr">
        <is>
          <t>TOTALS</t>
        </is>
      </c>
      <c r="D26" s="26">
        <f>SUM(D5:D24)</f>
        <v/>
      </c>
      <c r="E26" s="26">
        <f>SUM(E5:E24)</f>
        <v/>
      </c>
      <c r="I26" s="26">
        <f>SUM(I5:I24)</f>
        <v/>
      </c>
      <c r="K26" s="26">
        <f>SUM(K5:K24)</f>
        <v/>
      </c>
      <c r="L26" s="26">
        <f>SUM(L5:L24)</f>
        <v/>
      </c>
    </row>
    <row r="28">
      <c r="A28" s="23" t="inlineStr">
        <is>
          <t>Debt-to-Income Ratio</t>
        </is>
      </c>
      <c r="B28" s="22">
        <f>IF(TotalHouseholdIncome=0,0,I26/TotalHouseholdIncome)</f>
        <v/>
      </c>
      <c r="C28" s="27" t="inlineStr">
        <is>
          <t>Monthly payments / Monthly income</t>
        </is>
      </c>
    </row>
  </sheetData>
  <sheetProtection selectLockedCells="0" selectUnlockedCells="0" sheet="1" objects="0" insertRows="1" insertHyperlinks="1" autoFilter="1" scenarios="0" formatColumns="1" deleteColumns="1" insertColumns="1" pivotTables="1" deleteRows="1" formatCells="1" formatRows="1" sort="1" password="CE4B"/>
  <mergeCells count="2">
    <mergeCell ref="A2:K2"/>
    <mergeCell ref="A1:K1"/>
  </mergeCells>
  <conditionalFormatting sqref="M5:M24">
    <cfRule type="cellIs" priority="1" operator="greaterThanOrEqual" dxfId="0">
      <formula>0.75</formula>
    </cfRule>
    <cfRule type="cellIs" priority="2" operator="lessThan" dxfId="1">
      <formula>0.25</formula>
    </cfRule>
  </conditionalFormatting>
  <dataValidations count="3">
    <dataValidation sqref="A5 A6 A7 A8 A9 A10 A11 A12 A13 A14 A15 A16 A17 A18 A19 A20 A21 A22 A23 A24" showDropDown="0" showInputMessage="0" showErrorMessage="0" allowBlank="1" type="list">
      <formula1>"Credit Card,Personal Loan,Home Loan,Vehicle Loan,Student Loan,Store Credit,Other"</formula1>
    </dataValidation>
    <dataValidation sqref="F5 F6 F7 F8 F9 F10 F11 F12 F13 F14 F15 F16 F17 F18 F19 F20 F21 F22 F23 F24" showDropDown="0" showInputMessage="0" showErrorMessage="0" allowBlank="1" type="list">
      <formula1>"Auto (Prime+Margin),Manual"</formula1>
    </dataValidation>
    <dataValidation sqref="C5 C6 C7 C8 C9 C10 C11 C12 C13 C14 C15 C16 C17 C18 C19 C20 C21 C22 C23 C24" showDropDown="0" showInputMessage="0" showErrorMessage="0" allowBlank="1" type="list">
      <formula1>"Me,Wife,Joint"</formula1>
    </dataValidation>
  </dataValidations>
  <pageMargins left="0.75" right="0.75" top="1" bottom="1" header="0.5" footer="0.5"/>
</worksheet>
</file>

<file path=xl/worksheets/sheet5.xml><?xml version="1.0" encoding="utf-8"?>
<worksheet xmlns="http://schemas.openxmlformats.org/spreadsheetml/2006/main">
  <sheetPr>
    <tabColor rgb="004527A0"/>
    <outlinePr summaryBelow="1" summaryRight="1"/>
    <pageSetUpPr/>
  </sheetPr>
  <dimension ref="A1:G375"/>
  <sheetViews>
    <sheetView workbookViewId="0">
      <selection activeCell="A1" sqref="A1"/>
    </sheetView>
  </sheetViews>
  <sheetFormatPr baseColWidth="8" defaultRowHeight="15"/>
  <cols>
    <col width="5" customWidth="1" min="1" max="1"/>
    <col width="30" customWidth="1" min="2" max="2"/>
    <col width="22" customWidth="1" min="3" max="3"/>
    <col width="5" customWidth="1" min="4" max="4"/>
    <col width="18" customWidth="1" min="5" max="5"/>
    <col width="18" customWidth="1" min="6" max="6"/>
    <col width="18" customWidth="1" min="7" max="7"/>
    <col width="18" customWidth="1" min="8" max="8"/>
    <col width="18" customWidth="1" min="9" max="9"/>
  </cols>
  <sheetData>
    <row r="1" ht="30" customHeight="1">
      <c r="A1" s="1" t="inlineStr">
        <is>
          <t>Home Loan Calculator</t>
        </is>
      </c>
    </row>
    <row r="2" ht="20" customHeight="1">
      <c r="A2" s="2" t="inlineStr">
        <is>
          <t>Enter your property details below. The monthly repayment and amortization schedule calculate automatically using the Prime + Margin rate from Settings.</t>
        </is>
      </c>
    </row>
    <row r="4">
      <c r="B4" s="23" t="inlineStr">
        <is>
          <t>Property Value</t>
        </is>
      </c>
      <c r="C4" s="15" t="n">
        <v>2000000</v>
      </c>
    </row>
    <row r="5">
      <c r="B5" s="23" t="inlineStr">
        <is>
          <t>Loan Amount</t>
        </is>
      </c>
      <c r="C5" s="15" t="n">
        <v>1800000</v>
      </c>
    </row>
    <row r="6">
      <c r="B6" s="23" t="inlineStr">
        <is>
          <t>Loan Term (years)</t>
        </is>
      </c>
      <c r="C6" s="28" t="n">
        <v>20</v>
      </c>
    </row>
    <row r="7">
      <c r="B7" s="23" t="inlineStr">
        <is>
          <t>Start Date</t>
        </is>
      </c>
      <c r="C7" s="18" t="n">
        <v>45292</v>
      </c>
    </row>
    <row r="8">
      <c r="B8" s="23" t="inlineStr">
        <is>
          <t>Interest Rate (Prime + Margin)</t>
        </is>
      </c>
      <c r="C8" s="22">
        <f>EffectiveHomeLoanRate</f>
        <v/>
      </c>
    </row>
    <row r="10">
      <c r="B10" s="23" t="inlineStr">
        <is>
          <t>Monthly Repayment</t>
        </is>
      </c>
      <c r="C10" s="29">
        <f>-PMT(C8/12,C6*12,C5)</f>
        <v/>
      </c>
    </row>
    <row r="11">
      <c r="B11" s="23" t="inlineStr">
        <is>
          <t>Total Interest Payable</t>
        </is>
      </c>
      <c r="C11" s="20">
        <f>C10*C6*12-C5</f>
        <v/>
      </c>
    </row>
    <row r="12">
      <c r="B12" s="23" t="inlineStr">
        <is>
          <t>Total Cost of Property</t>
        </is>
      </c>
      <c r="C12" s="20">
        <f>C5+C11</f>
        <v/>
      </c>
    </row>
    <row r="14">
      <c r="B14" s="11" t="inlineStr">
        <is>
          <t>AMORTIZATION SCHEDULE</t>
        </is>
      </c>
    </row>
    <row r="15">
      <c r="A15" s="16" t="n"/>
      <c r="B15" s="16" t="inlineStr">
        <is>
          <t>Month</t>
        </is>
      </c>
      <c r="C15" s="16" t="inlineStr">
        <is>
          <t>Payment</t>
        </is>
      </c>
      <c r="D15" s="16" t="inlineStr">
        <is>
          <t>Principal</t>
        </is>
      </c>
      <c r="E15" s="16" t="inlineStr">
        <is>
          <t>Interest</t>
        </is>
      </c>
      <c r="F15" s="16" t="inlineStr">
        <is>
          <t>Balance</t>
        </is>
      </c>
    </row>
    <row r="16">
      <c r="B16" s="30" t="n">
        <v>1</v>
      </c>
      <c r="C16" s="20">
        <f>IF(B16&gt;$C$6*12,0,$C$10)</f>
        <v/>
      </c>
      <c r="D16" s="20">
        <f>IF(B16&gt;$C$6*12,0,C16-E16)</f>
        <v/>
      </c>
      <c r="E16" s="20">
        <f>IF(B16&gt;$C$6*12,0,$C$5*$C$8/12)</f>
        <v/>
      </c>
      <c r="F16" s="20">
        <f>IF(B16&gt;$C$6*12,0,$C$5-D16)</f>
        <v/>
      </c>
    </row>
    <row r="17">
      <c r="B17" s="30" t="n">
        <v>2</v>
      </c>
      <c r="C17" s="20">
        <f>IF(B17&gt;$C$6*12,0,$C$10)</f>
        <v/>
      </c>
      <c r="D17" s="20">
        <f>IF(B17&gt;$C$6*12,0,C17-E17)</f>
        <v/>
      </c>
      <c r="E17" s="20">
        <f>IF(B17&gt;$C$6*12,0,F16*$C$8/12)</f>
        <v/>
      </c>
      <c r="F17" s="20">
        <f>IF(B17&gt;$C$6*12,0,MAX(0,F16-D17))</f>
        <v/>
      </c>
    </row>
    <row r="18">
      <c r="B18" s="30" t="n">
        <v>3</v>
      </c>
      <c r="C18" s="20">
        <f>IF(B18&gt;$C$6*12,0,$C$10)</f>
        <v/>
      </c>
      <c r="D18" s="20">
        <f>IF(B18&gt;$C$6*12,0,C18-E18)</f>
        <v/>
      </c>
      <c r="E18" s="20">
        <f>IF(B18&gt;$C$6*12,0,F17*$C$8/12)</f>
        <v/>
      </c>
      <c r="F18" s="20">
        <f>IF(B18&gt;$C$6*12,0,MAX(0,F17-D18))</f>
        <v/>
      </c>
    </row>
    <row r="19">
      <c r="B19" s="30" t="n">
        <v>4</v>
      </c>
      <c r="C19" s="20">
        <f>IF(B19&gt;$C$6*12,0,$C$10)</f>
        <v/>
      </c>
      <c r="D19" s="20">
        <f>IF(B19&gt;$C$6*12,0,C19-E19)</f>
        <v/>
      </c>
      <c r="E19" s="20">
        <f>IF(B19&gt;$C$6*12,0,F18*$C$8/12)</f>
        <v/>
      </c>
      <c r="F19" s="20">
        <f>IF(B19&gt;$C$6*12,0,MAX(0,F18-D19))</f>
        <v/>
      </c>
    </row>
    <row r="20">
      <c r="B20" s="30" t="n">
        <v>5</v>
      </c>
      <c r="C20" s="20">
        <f>IF(B20&gt;$C$6*12,0,$C$10)</f>
        <v/>
      </c>
      <c r="D20" s="20">
        <f>IF(B20&gt;$C$6*12,0,C20-E20)</f>
        <v/>
      </c>
      <c r="E20" s="20">
        <f>IF(B20&gt;$C$6*12,0,F19*$C$8/12)</f>
        <v/>
      </c>
      <c r="F20" s="20">
        <f>IF(B20&gt;$C$6*12,0,MAX(0,F19-D20))</f>
        <v/>
      </c>
    </row>
    <row r="21">
      <c r="B21" s="30" t="n">
        <v>6</v>
      </c>
      <c r="C21" s="20">
        <f>IF(B21&gt;$C$6*12,0,$C$10)</f>
        <v/>
      </c>
      <c r="D21" s="20">
        <f>IF(B21&gt;$C$6*12,0,C21-E21)</f>
        <v/>
      </c>
      <c r="E21" s="20">
        <f>IF(B21&gt;$C$6*12,0,F20*$C$8/12)</f>
        <v/>
      </c>
      <c r="F21" s="20">
        <f>IF(B21&gt;$C$6*12,0,MAX(0,F20-D21))</f>
        <v/>
      </c>
    </row>
    <row r="22">
      <c r="B22" s="30" t="n">
        <v>7</v>
      </c>
      <c r="C22" s="20">
        <f>IF(B22&gt;$C$6*12,0,$C$10)</f>
        <v/>
      </c>
      <c r="D22" s="20">
        <f>IF(B22&gt;$C$6*12,0,C22-E22)</f>
        <v/>
      </c>
      <c r="E22" s="20">
        <f>IF(B22&gt;$C$6*12,0,F21*$C$8/12)</f>
        <v/>
      </c>
      <c r="F22" s="20">
        <f>IF(B22&gt;$C$6*12,0,MAX(0,F21-D22))</f>
        <v/>
      </c>
    </row>
    <row r="23">
      <c r="B23" s="30" t="n">
        <v>8</v>
      </c>
      <c r="C23" s="20">
        <f>IF(B23&gt;$C$6*12,0,$C$10)</f>
        <v/>
      </c>
      <c r="D23" s="20">
        <f>IF(B23&gt;$C$6*12,0,C23-E23)</f>
        <v/>
      </c>
      <c r="E23" s="20">
        <f>IF(B23&gt;$C$6*12,0,F22*$C$8/12)</f>
        <v/>
      </c>
      <c r="F23" s="20">
        <f>IF(B23&gt;$C$6*12,0,MAX(0,F22-D23))</f>
        <v/>
      </c>
    </row>
    <row r="24">
      <c r="B24" s="30" t="n">
        <v>9</v>
      </c>
      <c r="C24" s="20">
        <f>IF(B24&gt;$C$6*12,0,$C$10)</f>
        <v/>
      </c>
      <c r="D24" s="20">
        <f>IF(B24&gt;$C$6*12,0,C24-E24)</f>
        <v/>
      </c>
      <c r="E24" s="20">
        <f>IF(B24&gt;$C$6*12,0,F23*$C$8/12)</f>
        <v/>
      </c>
      <c r="F24" s="20">
        <f>IF(B24&gt;$C$6*12,0,MAX(0,F23-D24))</f>
        <v/>
      </c>
    </row>
    <row r="25">
      <c r="B25" s="30" t="n">
        <v>10</v>
      </c>
      <c r="C25" s="20">
        <f>IF(B25&gt;$C$6*12,0,$C$10)</f>
        <v/>
      </c>
      <c r="D25" s="20">
        <f>IF(B25&gt;$C$6*12,0,C25-E25)</f>
        <v/>
      </c>
      <c r="E25" s="20">
        <f>IF(B25&gt;$C$6*12,0,F24*$C$8/12)</f>
        <v/>
      </c>
      <c r="F25" s="20">
        <f>IF(B25&gt;$C$6*12,0,MAX(0,F24-D25))</f>
        <v/>
      </c>
    </row>
    <row r="26">
      <c r="B26" s="30" t="n">
        <v>11</v>
      </c>
      <c r="C26" s="20">
        <f>IF(B26&gt;$C$6*12,0,$C$10)</f>
        <v/>
      </c>
      <c r="D26" s="20">
        <f>IF(B26&gt;$C$6*12,0,C26-E26)</f>
        <v/>
      </c>
      <c r="E26" s="20">
        <f>IF(B26&gt;$C$6*12,0,F25*$C$8/12)</f>
        <v/>
      </c>
      <c r="F26" s="20">
        <f>IF(B26&gt;$C$6*12,0,MAX(0,F25-D26))</f>
        <v/>
      </c>
    </row>
    <row r="27">
      <c r="B27" s="30" t="n">
        <v>12</v>
      </c>
      <c r="C27" s="20">
        <f>IF(B27&gt;$C$6*12,0,$C$10)</f>
        <v/>
      </c>
      <c r="D27" s="20">
        <f>IF(B27&gt;$C$6*12,0,C27-E27)</f>
        <v/>
      </c>
      <c r="E27" s="20">
        <f>IF(B27&gt;$C$6*12,0,F26*$C$8/12)</f>
        <v/>
      </c>
      <c r="F27" s="20">
        <f>IF(B27&gt;$C$6*12,0,MAX(0,F26-D27))</f>
        <v/>
      </c>
    </row>
    <row r="28">
      <c r="B28" s="30" t="n">
        <v>13</v>
      </c>
      <c r="C28" s="20">
        <f>IF(B28&gt;$C$6*12,0,$C$10)</f>
        <v/>
      </c>
      <c r="D28" s="20">
        <f>IF(B28&gt;$C$6*12,0,C28-E28)</f>
        <v/>
      </c>
      <c r="E28" s="20">
        <f>IF(B28&gt;$C$6*12,0,F27*$C$8/12)</f>
        <v/>
      </c>
      <c r="F28" s="20">
        <f>IF(B28&gt;$C$6*12,0,MAX(0,F27-D28))</f>
        <v/>
      </c>
    </row>
    <row r="29">
      <c r="B29" s="30" t="n">
        <v>14</v>
      </c>
      <c r="C29" s="20">
        <f>IF(B29&gt;$C$6*12,0,$C$10)</f>
        <v/>
      </c>
      <c r="D29" s="20">
        <f>IF(B29&gt;$C$6*12,0,C29-E29)</f>
        <v/>
      </c>
      <c r="E29" s="20">
        <f>IF(B29&gt;$C$6*12,0,F28*$C$8/12)</f>
        <v/>
      </c>
      <c r="F29" s="20">
        <f>IF(B29&gt;$C$6*12,0,MAX(0,F28-D29))</f>
        <v/>
      </c>
    </row>
    <row r="30">
      <c r="B30" s="30" t="n">
        <v>15</v>
      </c>
      <c r="C30" s="20">
        <f>IF(B30&gt;$C$6*12,0,$C$10)</f>
        <v/>
      </c>
      <c r="D30" s="20">
        <f>IF(B30&gt;$C$6*12,0,C30-E30)</f>
        <v/>
      </c>
      <c r="E30" s="20">
        <f>IF(B30&gt;$C$6*12,0,F29*$C$8/12)</f>
        <v/>
      </c>
      <c r="F30" s="20">
        <f>IF(B30&gt;$C$6*12,0,MAX(0,F29-D30))</f>
        <v/>
      </c>
    </row>
    <row r="31">
      <c r="B31" s="30" t="n">
        <v>16</v>
      </c>
      <c r="C31" s="20">
        <f>IF(B31&gt;$C$6*12,0,$C$10)</f>
        <v/>
      </c>
      <c r="D31" s="20">
        <f>IF(B31&gt;$C$6*12,0,C31-E31)</f>
        <v/>
      </c>
      <c r="E31" s="20">
        <f>IF(B31&gt;$C$6*12,0,F30*$C$8/12)</f>
        <v/>
      </c>
      <c r="F31" s="20">
        <f>IF(B31&gt;$C$6*12,0,MAX(0,F30-D31))</f>
        <v/>
      </c>
    </row>
    <row r="32">
      <c r="B32" s="30" t="n">
        <v>17</v>
      </c>
      <c r="C32" s="20">
        <f>IF(B32&gt;$C$6*12,0,$C$10)</f>
        <v/>
      </c>
      <c r="D32" s="20">
        <f>IF(B32&gt;$C$6*12,0,C32-E32)</f>
        <v/>
      </c>
      <c r="E32" s="20">
        <f>IF(B32&gt;$C$6*12,0,F31*$C$8/12)</f>
        <v/>
      </c>
      <c r="F32" s="20">
        <f>IF(B32&gt;$C$6*12,0,MAX(0,F31-D32))</f>
        <v/>
      </c>
    </row>
    <row r="33">
      <c r="B33" s="30" t="n">
        <v>18</v>
      </c>
      <c r="C33" s="20">
        <f>IF(B33&gt;$C$6*12,0,$C$10)</f>
        <v/>
      </c>
      <c r="D33" s="20">
        <f>IF(B33&gt;$C$6*12,0,C33-E33)</f>
        <v/>
      </c>
      <c r="E33" s="20">
        <f>IF(B33&gt;$C$6*12,0,F32*$C$8/12)</f>
        <v/>
      </c>
      <c r="F33" s="20">
        <f>IF(B33&gt;$C$6*12,0,MAX(0,F32-D33))</f>
        <v/>
      </c>
    </row>
    <row r="34">
      <c r="B34" s="30" t="n">
        <v>19</v>
      </c>
      <c r="C34" s="20">
        <f>IF(B34&gt;$C$6*12,0,$C$10)</f>
        <v/>
      </c>
      <c r="D34" s="20">
        <f>IF(B34&gt;$C$6*12,0,C34-E34)</f>
        <v/>
      </c>
      <c r="E34" s="20">
        <f>IF(B34&gt;$C$6*12,0,F33*$C$8/12)</f>
        <v/>
      </c>
      <c r="F34" s="20">
        <f>IF(B34&gt;$C$6*12,0,MAX(0,F33-D34))</f>
        <v/>
      </c>
    </row>
    <row r="35">
      <c r="B35" s="30" t="n">
        <v>20</v>
      </c>
      <c r="C35" s="20">
        <f>IF(B35&gt;$C$6*12,0,$C$10)</f>
        <v/>
      </c>
      <c r="D35" s="20">
        <f>IF(B35&gt;$C$6*12,0,C35-E35)</f>
        <v/>
      </c>
      <c r="E35" s="20">
        <f>IF(B35&gt;$C$6*12,0,F34*$C$8/12)</f>
        <v/>
      </c>
      <c r="F35" s="20">
        <f>IF(B35&gt;$C$6*12,0,MAX(0,F34-D35))</f>
        <v/>
      </c>
    </row>
    <row r="36">
      <c r="B36" s="30" t="n">
        <v>21</v>
      </c>
      <c r="C36" s="20">
        <f>IF(B36&gt;$C$6*12,0,$C$10)</f>
        <v/>
      </c>
      <c r="D36" s="20">
        <f>IF(B36&gt;$C$6*12,0,C36-E36)</f>
        <v/>
      </c>
      <c r="E36" s="20">
        <f>IF(B36&gt;$C$6*12,0,F35*$C$8/12)</f>
        <v/>
      </c>
      <c r="F36" s="20">
        <f>IF(B36&gt;$C$6*12,0,MAX(0,F35-D36))</f>
        <v/>
      </c>
    </row>
    <row r="37">
      <c r="B37" s="30" t="n">
        <v>22</v>
      </c>
      <c r="C37" s="20">
        <f>IF(B37&gt;$C$6*12,0,$C$10)</f>
        <v/>
      </c>
      <c r="D37" s="20">
        <f>IF(B37&gt;$C$6*12,0,C37-E37)</f>
        <v/>
      </c>
      <c r="E37" s="20">
        <f>IF(B37&gt;$C$6*12,0,F36*$C$8/12)</f>
        <v/>
      </c>
      <c r="F37" s="20">
        <f>IF(B37&gt;$C$6*12,0,MAX(0,F36-D37))</f>
        <v/>
      </c>
    </row>
    <row r="38">
      <c r="B38" s="30" t="n">
        <v>23</v>
      </c>
      <c r="C38" s="20">
        <f>IF(B38&gt;$C$6*12,0,$C$10)</f>
        <v/>
      </c>
      <c r="D38" s="20">
        <f>IF(B38&gt;$C$6*12,0,C38-E38)</f>
        <v/>
      </c>
      <c r="E38" s="20">
        <f>IF(B38&gt;$C$6*12,0,F37*$C$8/12)</f>
        <v/>
      </c>
      <c r="F38" s="20">
        <f>IF(B38&gt;$C$6*12,0,MAX(0,F37-D38))</f>
        <v/>
      </c>
    </row>
    <row r="39">
      <c r="B39" s="30" t="n">
        <v>24</v>
      </c>
      <c r="C39" s="20">
        <f>IF(B39&gt;$C$6*12,0,$C$10)</f>
        <v/>
      </c>
      <c r="D39" s="20">
        <f>IF(B39&gt;$C$6*12,0,C39-E39)</f>
        <v/>
      </c>
      <c r="E39" s="20">
        <f>IF(B39&gt;$C$6*12,0,F38*$C$8/12)</f>
        <v/>
      </c>
      <c r="F39" s="20">
        <f>IF(B39&gt;$C$6*12,0,MAX(0,F38-D39))</f>
        <v/>
      </c>
    </row>
    <row r="40">
      <c r="B40" s="30" t="n">
        <v>25</v>
      </c>
      <c r="C40" s="20">
        <f>IF(B40&gt;$C$6*12,0,$C$10)</f>
        <v/>
      </c>
      <c r="D40" s="20">
        <f>IF(B40&gt;$C$6*12,0,C40-E40)</f>
        <v/>
      </c>
      <c r="E40" s="20">
        <f>IF(B40&gt;$C$6*12,0,F39*$C$8/12)</f>
        <v/>
      </c>
      <c r="F40" s="20">
        <f>IF(B40&gt;$C$6*12,0,MAX(0,F39-D40))</f>
        <v/>
      </c>
    </row>
    <row r="41">
      <c r="B41" s="30" t="n">
        <v>26</v>
      </c>
      <c r="C41" s="20">
        <f>IF(B41&gt;$C$6*12,0,$C$10)</f>
        <v/>
      </c>
      <c r="D41" s="20">
        <f>IF(B41&gt;$C$6*12,0,C41-E41)</f>
        <v/>
      </c>
      <c r="E41" s="20">
        <f>IF(B41&gt;$C$6*12,0,F40*$C$8/12)</f>
        <v/>
      </c>
      <c r="F41" s="20">
        <f>IF(B41&gt;$C$6*12,0,MAX(0,F40-D41))</f>
        <v/>
      </c>
    </row>
    <row r="42">
      <c r="B42" s="30" t="n">
        <v>27</v>
      </c>
      <c r="C42" s="20">
        <f>IF(B42&gt;$C$6*12,0,$C$10)</f>
        <v/>
      </c>
      <c r="D42" s="20">
        <f>IF(B42&gt;$C$6*12,0,C42-E42)</f>
        <v/>
      </c>
      <c r="E42" s="20">
        <f>IF(B42&gt;$C$6*12,0,F41*$C$8/12)</f>
        <v/>
      </c>
      <c r="F42" s="20">
        <f>IF(B42&gt;$C$6*12,0,MAX(0,F41-D42))</f>
        <v/>
      </c>
    </row>
    <row r="43">
      <c r="B43" s="30" t="n">
        <v>28</v>
      </c>
      <c r="C43" s="20">
        <f>IF(B43&gt;$C$6*12,0,$C$10)</f>
        <v/>
      </c>
      <c r="D43" s="20">
        <f>IF(B43&gt;$C$6*12,0,C43-E43)</f>
        <v/>
      </c>
      <c r="E43" s="20">
        <f>IF(B43&gt;$C$6*12,0,F42*$C$8/12)</f>
        <v/>
      </c>
      <c r="F43" s="20">
        <f>IF(B43&gt;$C$6*12,0,MAX(0,F42-D43))</f>
        <v/>
      </c>
    </row>
    <row r="44">
      <c r="B44" s="30" t="n">
        <v>29</v>
      </c>
      <c r="C44" s="20">
        <f>IF(B44&gt;$C$6*12,0,$C$10)</f>
        <v/>
      </c>
      <c r="D44" s="20">
        <f>IF(B44&gt;$C$6*12,0,C44-E44)</f>
        <v/>
      </c>
      <c r="E44" s="20">
        <f>IF(B44&gt;$C$6*12,0,F43*$C$8/12)</f>
        <v/>
      </c>
      <c r="F44" s="20">
        <f>IF(B44&gt;$C$6*12,0,MAX(0,F43-D44))</f>
        <v/>
      </c>
    </row>
    <row r="45">
      <c r="B45" s="30" t="n">
        <v>30</v>
      </c>
      <c r="C45" s="20">
        <f>IF(B45&gt;$C$6*12,0,$C$10)</f>
        <v/>
      </c>
      <c r="D45" s="20">
        <f>IF(B45&gt;$C$6*12,0,C45-E45)</f>
        <v/>
      </c>
      <c r="E45" s="20">
        <f>IF(B45&gt;$C$6*12,0,F44*$C$8/12)</f>
        <v/>
      </c>
      <c r="F45" s="20">
        <f>IF(B45&gt;$C$6*12,0,MAX(0,F44-D45))</f>
        <v/>
      </c>
    </row>
    <row r="46">
      <c r="B46" s="30" t="n">
        <v>31</v>
      </c>
      <c r="C46" s="20">
        <f>IF(B46&gt;$C$6*12,0,$C$10)</f>
        <v/>
      </c>
      <c r="D46" s="20">
        <f>IF(B46&gt;$C$6*12,0,C46-E46)</f>
        <v/>
      </c>
      <c r="E46" s="20">
        <f>IF(B46&gt;$C$6*12,0,F45*$C$8/12)</f>
        <v/>
      </c>
      <c r="F46" s="20">
        <f>IF(B46&gt;$C$6*12,0,MAX(0,F45-D46))</f>
        <v/>
      </c>
    </row>
    <row r="47">
      <c r="B47" s="30" t="n">
        <v>32</v>
      </c>
      <c r="C47" s="20">
        <f>IF(B47&gt;$C$6*12,0,$C$10)</f>
        <v/>
      </c>
      <c r="D47" s="20">
        <f>IF(B47&gt;$C$6*12,0,C47-E47)</f>
        <v/>
      </c>
      <c r="E47" s="20">
        <f>IF(B47&gt;$C$6*12,0,F46*$C$8/12)</f>
        <v/>
      </c>
      <c r="F47" s="20">
        <f>IF(B47&gt;$C$6*12,0,MAX(0,F46-D47))</f>
        <v/>
      </c>
    </row>
    <row r="48">
      <c r="B48" s="30" t="n">
        <v>33</v>
      </c>
      <c r="C48" s="20">
        <f>IF(B48&gt;$C$6*12,0,$C$10)</f>
        <v/>
      </c>
      <c r="D48" s="20">
        <f>IF(B48&gt;$C$6*12,0,C48-E48)</f>
        <v/>
      </c>
      <c r="E48" s="20">
        <f>IF(B48&gt;$C$6*12,0,F47*$C$8/12)</f>
        <v/>
      </c>
      <c r="F48" s="20">
        <f>IF(B48&gt;$C$6*12,0,MAX(0,F47-D48))</f>
        <v/>
      </c>
    </row>
    <row r="49">
      <c r="B49" s="30" t="n">
        <v>34</v>
      </c>
      <c r="C49" s="20">
        <f>IF(B49&gt;$C$6*12,0,$C$10)</f>
        <v/>
      </c>
      <c r="D49" s="20">
        <f>IF(B49&gt;$C$6*12,0,C49-E49)</f>
        <v/>
      </c>
      <c r="E49" s="20">
        <f>IF(B49&gt;$C$6*12,0,F48*$C$8/12)</f>
        <v/>
      </c>
      <c r="F49" s="20">
        <f>IF(B49&gt;$C$6*12,0,MAX(0,F48-D49))</f>
        <v/>
      </c>
    </row>
    <row r="50">
      <c r="B50" s="30" t="n">
        <v>35</v>
      </c>
      <c r="C50" s="20">
        <f>IF(B50&gt;$C$6*12,0,$C$10)</f>
        <v/>
      </c>
      <c r="D50" s="20">
        <f>IF(B50&gt;$C$6*12,0,C50-E50)</f>
        <v/>
      </c>
      <c r="E50" s="20">
        <f>IF(B50&gt;$C$6*12,0,F49*$C$8/12)</f>
        <v/>
      </c>
      <c r="F50" s="20">
        <f>IF(B50&gt;$C$6*12,0,MAX(0,F49-D50))</f>
        <v/>
      </c>
    </row>
    <row r="51">
      <c r="B51" s="30" t="n">
        <v>36</v>
      </c>
      <c r="C51" s="20">
        <f>IF(B51&gt;$C$6*12,0,$C$10)</f>
        <v/>
      </c>
      <c r="D51" s="20">
        <f>IF(B51&gt;$C$6*12,0,C51-E51)</f>
        <v/>
      </c>
      <c r="E51" s="20">
        <f>IF(B51&gt;$C$6*12,0,F50*$C$8/12)</f>
        <v/>
      </c>
      <c r="F51" s="20">
        <f>IF(B51&gt;$C$6*12,0,MAX(0,F50-D51))</f>
        <v/>
      </c>
    </row>
    <row r="52">
      <c r="B52" s="30" t="n">
        <v>37</v>
      </c>
      <c r="C52" s="20">
        <f>IF(B52&gt;$C$6*12,0,$C$10)</f>
        <v/>
      </c>
      <c r="D52" s="20">
        <f>IF(B52&gt;$C$6*12,0,C52-E52)</f>
        <v/>
      </c>
      <c r="E52" s="20">
        <f>IF(B52&gt;$C$6*12,0,F51*$C$8/12)</f>
        <v/>
      </c>
      <c r="F52" s="20">
        <f>IF(B52&gt;$C$6*12,0,MAX(0,F51-D52))</f>
        <v/>
      </c>
    </row>
    <row r="53">
      <c r="B53" s="30" t="n">
        <v>38</v>
      </c>
      <c r="C53" s="20">
        <f>IF(B53&gt;$C$6*12,0,$C$10)</f>
        <v/>
      </c>
      <c r="D53" s="20">
        <f>IF(B53&gt;$C$6*12,0,C53-E53)</f>
        <v/>
      </c>
      <c r="E53" s="20">
        <f>IF(B53&gt;$C$6*12,0,F52*$C$8/12)</f>
        <v/>
      </c>
      <c r="F53" s="20">
        <f>IF(B53&gt;$C$6*12,0,MAX(0,F52-D53))</f>
        <v/>
      </c>
    </row>
    <row r="54">
      <c r="B54" s="30" t="n">
        <v>39</v>
      </c>
      <c r="C54" s="20">
        <f>IF(B54&gt;$C$6*12,0,$C$10)</f>
        <v/>
      </c>
      <c r="D54" s="20">
        <f>IF(B54&gt;$C$6*12,0,C54-E54)</f>
        <v/>
      </c>
      <c r="E54" s="20">
        <f>IF(B54&gt;$C$6*12,0,F53*$C$8/12)</f>
        <v/>
      </c>
      <c r="F54" s="20">
        <f>IF(B54&gt;$C$6*12,0,MAX(0,F53-D54))</f>
        <v/>
      </c>
    </row>
    <row r="55">
      <c r="B55" s="30" t="n">
        <v>40</v>
      </c>
      <c r="C55" s="20">
        <f>IF(B55&gt;$C$6*12,0,$C$10)</f>
        <v/>
      </c>
      <c r="D55" s="20">
        <f>IF(B55&gt;$C$6*12,0,C55-E55)</f>
        <v/>
      </c>
      <c r="E55" s="20">
        <f>IF(B55&gt;$C$6*12,0,F54*$C$8/12)</f>
        <v/>
      </c>
      <c r="F55" s="20">
        <f>IF(B55&gt;$C$6*12,0,MAX(0,F54-D55))</f>
        <v/>
      </c>
    </row>
    <row r="56">
      <c r="B56" s="30" t="n">
        <v>41</v>
      </c>
      <c r="C56" s="20">
        <f>IF(B56&gt;$C$6*12,0,$C$10)</f>
        <v/>
      </c>
      <c r="D56" s="20">
        <f>IF(B56&gt;$C$6*12,0,C56-E56)</f>
        <v/>
      </c>
      <c r="E56" s="20">
        <f>IF(B56&gt;$C$6*12,0,F55*$C$8/12)</f>
        <v/>
      </c>
      <c r="F56" s="20">
        <f>IF(B56&gt;$C$6*12,0,MAX(0,F55-D56))</f>
        <v/>
      </c>
    </row>
    <row r="57">
      <c r="B57" s="30" t="n">
        <v>42</v>
      </c>
      <c r="C57" s="20">
        <f>IF(B57&gt;$C$6*12,0,$C$10)</f>
        <v/>
      </c>
      <c r="D57" s="20">
        <f>IF(B57&gt;$C$6*12,0,C57-E57)</f>
        <v/>
      </c>
      <c r="E57" s="20">
        <f>IF(B57&gt;$C$6*12,0,F56*$C$8/12)</f>
        <v/>
      </c>
      <c r="F57" s="20">
        <f>IF(B57&gt;$C$6*12,0,MAX(0,F56-D57))</f>
        <v/>
      </c>
    </row>
    <row r="58">
      <c r="B58" s="30" t="n">
        <v>43</v>
      </c>
      <c r="C58" s="20">
        <f>IF(B58&gt;$C$6*12,0,$C$10)</f>
        <v/>
      </c>
      <c r="D58" s="20">
        <f>IF(B58&gt;$C$6*12,0,C58-E58)</f>
        <v/>
      </c>
      <c r="E58" s="20">
        <f>IF(B58&gt;$C$6*12,0,F57*$C$8/12)</f>
        <v/>
      </c>
      <c r="F58" s="20">
        <f>IF(B58&gt;$C$6*12,0,MAX(0,F57-D58))</f>
        <v/>
      </c>
    </row>
    <row r="59">
      <c r="B59" s="30" t="n">
        <v>44</v>
      </c>
      <c r="C59" s="20">
        <f>IF(B59&gt;$C$6*12,0,$C$10)</f>
        <v/>
      </c>
      <c r="D59" s="20">
        <f>IF(B59&gt;$C$6*12,0,C59-E59)</f>
        <v/>
      </c>
      <c r="E59" s="20">
        <f>IF(B59&gt;$C$6*12,0,F58*$C$8/12)</f>
        <v/>
      </c>
      <c r="F59" s="20">
        <f>IF(B59&gt;$C$6*12,0,MAX(0,F58-D59))</f>
        <v/>
      </c>
    </row>
    <row r="60">
      <c r="B60" s="30" t="n">
        <v>45</v>
      </c>
      <c r="C60" s="20">
        <f>IF(B60&gt;$C$6*12,0,$C$10)</f>
        <v/>
      </c>
      <c r="D60" s="20">
        <f>IF(B60&gt;$C$6*12,0,C60-E60)</f>
        <v/>
      </c>
      <c r="E60" s="20">
        <f>IF(B60&gt;$C$6*12,0,F59*$C$8/12)</f>
        <v/>
      </c>
      <c r="F60" s="20">
        <f>IF(B60&gt;$C$6*12,0,MAX(0,F59-D60))</f>
        <v/>
      </c>
    </row>
    <row r="61">
      <c r="B61" s="30" t="n">
        <v>46</v>
      </c>
      <c r="C61" s="20">
        <f>IF(B61&gt;$C$6*12,0,$C$10)</f>
        <v/>
      </c>
      <c r="D61" s="20">
        <f>IF(B61&gt;$C$6*12,0,C61-E61)</f>
        <v/>
      </c>
      <c r="E61" s="20">
        <f>IF(B61&gt;$C$6*12,0,F60*$C$8/12)</f>
        <v/>
      </c>
      <c r="F61" s="20">
        <f>IF(B61&gt;$C$6*12,0,MAX(0,F60-D61))</f>
        <v/>
      </c>
    </row>
    <row r="62">
      <c r="B62" s="30" t="n">
        <v>47</v>
      </c>
      <c r="C62" s="20">
        <f>IF(B62&gt;$C$6*12,0,$C$10)</f>
        <v/>
      </c>
      <c r="D62" s="20">
        <f>IF(B62&gt;$C$6*12,0,C62-E62)</f>
        <v/>
      </c>
      <c r="E62" s="20">
        <f>IF(B62&gt;$C$6*12,0,F61*$C$8/12)</f>
        <v/>
      </c>
      <c r="F62" s="20">
        <f>IF(B62&gt;$C$6*12,0,MAX(0,F61-D62))</f>
        <v/>
      </c>
    </row>
    <row r="63">
      <c r="B63" s="30" t="n">
        <v>48</v>
      </c>
      <c r="C63" s="20">
        <f>IF(B63&gt;$C$6*12,0,$C$10)</f>
        <v/>
      </c>
      <c r="D63" s="20">
        <f>IF(B63&gt;$C$6*12,0,C63-E63)</f>
        <v/>
      </c>
      <c r="E63" s="20">
        <f>IF(B63&gt;$C$6*12,0,F62*$C$8/12)</f>
        <v/>
      </c>
      <c r="F63" s="20">
        <f>IF(B63&gt;$C$6*12,0,MAX(0,F62-D63))</f>
        <v/>
      </c>
    </row>
    <row r="64">
      <c r="B64" s="30" t="n">
        <v>49</v>
      </c>
      <c r="C64" s="20">
        <f>IF(B64&gt;$C$6*12,0,$C$10)</f>
        <v/>
      </c>
      <c r="D64" s="20">
        <f>IF(B64&gt;$C$6*12,0,C64-E64)</f>
        <v/>
      </c>
      <c r="E64" s="20">
        <f>IF(B64&gt;$C$6*12,0,F63*$C$8/12)</f>
        <v/>
      </c>
      <c r="F64" s="20">
        <f>IF(B64&gt;$C$6*12,0,MAX(0,F63-D64))</f>
        <v/>
      </c>
    </row>
    <row r="65">
      <c r="B65" s="30" t="n">
        <v>50</v>
      </c>
      <c r="C65" s="20">
        <f>IF(B65&gt;$C$6*12,0,$C$10)</f>
        <v/>
      </c>
      <c r="D65" s="20">
        <f>IF(B65&gt;$C$6*12,0,C65-E65)</f>
        <v/>
      </c>
      <c r="E65" s="20">
        <f>IF(B65&gt;$C$6*12,0,F64*$C$8/12)</f>
        <v/>
      </c>
      <c r="F65" s="20">
        <f>IF(B65&gt;$C$6*12,0,MAX(0,F64-D65))</f>
        <v/>
      </c>
    </row>
    <row r="66">
      <c r="B66" s="30" t="n">
        <v>51</v>
      </c>
      <c r="C66" s="20">
        <f>IF(B66&gt;$C$6*12,0,$C$10)</f>
        <v/>
      </c>
      <c r="D66" s="20">
        <f>IF(B66&gt;$C$6*12,0,C66-E66)</f>
        <v/>
      </c>
      <c r="E66" s="20">
        <f>IF(B66&gt;$C$6*12,0,F65*$C$8/12)</f>
        <v/>
      </c>
      <c r="F66" s="20">
        <f>IF(B66&gt;$C$6*12,0,MAX(0,F65-D66))</f>
        <v/>
      </c>
    </row>
    <row r="67">
      <c r="B67" s="30" t="n">
        <v>52</v>
      </c>
      <c r="C67" s="20">
        <f>IF(B67&gt;$C$6*12,0,$C$10)</f>
        <v/>
      </c>
      <c r="D67" s="20">
        <f>IF(B67&gt;$C$6*12,0,C67-E67)</f>
        <v/>
      </c>
      <c r="E67" s="20">
        <f>IF(B67&gt;$C$6*12,0,F66*$C$8/12)</f>
        <v/>
      </c>
      <c r="F67" s="20">
        <f>IF(B67&gt;$C$6*12,0,MAX(0,F66-D67))</f>
        <v/>
      </c>
    </row>
    <row r="68">
      <c r="B68" s="30" t="n">
        <v>53</v>
      </c>
      <c r="C68" s="20">
        <f>IF(B68&gt;$C$6*12,0,$C$10)</f>
        <v/>
      </c>
      <c r="D68" s="20">
        <f>IF(B68&gt;$C$6*12,0,C68-E68)</f>
        <v/>
      </c>
      <c r="E68" s="20">
        <f>IF(B68&gt;$C$6*12,0,F67*$C$8/12)</f>
        <v/>
      </c>
      <c r="F68" s="20">
        <f>IF(B68&gt;$C$6*12,0,MAX(0,F67-D68))</f>
        <v/>
      </c>
    </row>
    <row r="69">
      <c r="B69" s="30" t="n">
        <v>54</v>
      </c>
      <c r="C69" s="20">
        <f>IF(B69&gt;$C$6*12,0,$C$10)</f>
        <v/>
      </c>
      <c r="D69" s="20">
        <f>IF(B69&gt;$C$6*12,0,C69-E69)</f>
        <v/>
      </c>
      <c r="E69" s="20">
        <f>IF(B69&gt;$C$6*12,0,F68*$C$8/12)</f>
        <v/>
      </c>
      <c r="F69" s="20">
        <f>IF(B69&gt;$C$6*12,0,MAX(0,F68-D69))</f>
        <v/>
      </c>
    </row>
    <row r="70">
      <c r="B70" s="30" t="n">
        <v>55</v>
      </c>
      <c r="C70" s="20">
        <f>IF(B70&gt;$C$6*12,0,$C$10)</f>
        <v/>
      </c>
      <c r="D70" s="20">
        <f>IF(B70&gt;$C$6*12,0,C70-E70)</f>
        <v/>
      </c>
      <c r="E70" s="20">
        <f>IF(B70&gt;$C$6*12,0,F69*$C$8/12)</f>
        <v/>
      </c>
      <c r="F70" s="20">
        <f>IF(B70&gt;$C$6*12,0,MAX(0,F69-D70))</f>
        <v/>
      </c>
    </row>
    <row r="71">
      <c r="B71" s="30" t="n">
        <v>56</v>
      </c>
      <c r="C71" s="20">
        <f>IF(B71&gt;$C$6*12,0,$C$10)</f>
        <v/>
      </c>
      <c r="D71" s="20">
        <f>IF(B71&gt;$C$6*12,0,C71-E71)</f>
        <v/>
      </c>
      <c r="E71" s="20">
        <f>IF(B71&gt;$C$6*12,0,F70*$C$8/12)</f>
        <v/>
      </c>
      <c r="F71" s="20">
        <f>IF(B71&gt;$C$6*12,0,MAX(0,F70-D71))</f>
        <v/>
      </c>
    </row>
    <row r="72">
      <c r="B72" s="30" t="n">
        <v>57</v>
      </c>
      <c r="C72" s="20">
        <f>IF(B72&gt;$C$6*12,0,$C$10)</f>
        <v/>
      </c>
      <c r="D72" s="20">
        <f>IF(B72&gt;$C$6*12,0,C72-E72)</f>
        <v/>
      </c>
      <c r="E72" s="20">
        <f>IF(B72&gt;$C$6*12,0,F71*$C$8/12)</f>
        <v/>
      </c>
      <c r="F72" s="20">
        <f>IF(B72&gt;$C$6*12,0,MAX(0,F71-D72))</f>
        <v/>
      </c>
    </row>
    <row r="73">
      <c r="B73" s="30" t="n">
        <v>58</v>
      </c>
      <c r="C73" s="20">
        <f>IF(B73&gt;$C$6*12,0,$C$10)</f>
        <v/>
      </c>
      <c r="D73" s="20">
        <f>IF(B73&gt;$C$6*12,0,C73-E73)</f>
        <v/>
      </c>
      <c r="E73" s="20">
        <f>IF(B73&gt;$C$6*12,0,F72*$C$8/12)</f>
        <v/>
      </c>
      <c r="F73" s="20">
        <f>IF(B73&gt;$C$6*12,0,MAX(0,F72-D73))</f>
        <v/>
      </c>
    </row>
    <row r="74">
      <c r="B74" s="30" t="n">
        <v>59</v>
      </c>
      <c r="C74" s="20">
        <f>IF(B74&gt;$C$6*12,0,$C$10)</f>
        <v/>
      </c>
      <c r="D74" s="20">
        <f>IF(B74&gt;$C$6*12,0,C74-E74)</f>
        <v/>
      </c>
      <c r="E74" s="20">
        <f>IF(B74&gt;$C$6*12,0,F73*$C$8/12)</f>
        <v/>
      </c>
      <c r="F74" s="20">
        <f>IF(B74&gt;$C$6*12,0,MAX(0,F73-D74))</f>
        <v/>
      </c>
    </row>
    <row r="75">
      <c r="B75" s="30" t="n">
        <v>60</v>
      </c>
      <c r="C75" s="20">
        <f>IF(B75&gt;$C$6*12,0,$C$10)</f>
        <v/>
      </c>
      <c r="D75" s="20">
        <f>IF(B75&gt;$C$6*12,0,C75-E75)</f>
        <v/>
      </c>
      <c r="E75" s="20">
        <f>IF(B75&gt;$C$6*12,0,F74*$C$8/12)</f>
        <v/>
      </c>
      <c r="F75" s="20">
        <f>IF(B75&gt;$C$6*12,0,MAX(0,F74-D75))</f>
        <v/>
      </c>
    </row>
    <row r="76">
      <c r="B76" s="30" t="n">
        <v>61</v>
      </c>
      <c r="C76" s="20">
        <f>IF(B76&gt;$C$6*12,0,$C$10)</f>
        <v/>
      </c>
      <c r="D76" s="20">
        <f>IF(B76&gt;$C$6*12,0,C76-E76)</f>
        <v/>
      </c>
      <c r="E76" s="20">
        <f>IF(B76&gt;$C$6*12,0,F75*$C$8/12)</f>
        <v/>
      </c>
      <c r="F76" s="20">
        <f>IF(B76&gt;$C$6*12,0,MAX(0,F75-D76))</f>
        <v/>
      </c>
    </row>
    <row r="77">
      <c r="B77" s="30" t="n">
        <v>62</v>
      </c>
      <c r="C77" s="20">
        <f>IF(B77&gt;$C$6*12,0,$C$10)</f>
        <v/>
      </c>
      <c r="D77" s="20">
        <f>IF(B77&gt;$C$6*12,0,C77-E77)</f>
        <v/>
      </c>
      <c r="E77" s="20">
        <f>IF(B77&gt;$C$6*12,0,F76*$C$8/12)</f>
        <v/>
      </c>
      <c r="F77" s="20">
        <f>IF(B77&gt;$C$6*12,0,MAX(0,F76-D77))</f>
        <v/>
      </c>
    </row>
    <row r="78">
      <c r="B78" s="30" t="n">
        <v>63</v>
      </c>
      <c r="C78" s="20">
        <f>IF(B78&gt;$C$6*12,0,$C$10)</f>
        <v/>
      </c>
      <c r="D78" s="20">
        <f>IF(B78&gt;$C$6*12,0,C78-E78)</f>
        <v/>
      </c>
      <c r="E78" s="20">
        <f>IF(B78&gt;$C$6*12,0,F77*$C$8/12)</f>
        <v/>
      </c>
      <c r="F78" s="20">
        <f>IF(B78&gt;$C$6*12,0,MAX(0,F77-D78))</f>
        <v/>
      </c>
    </row>
    <row r="79">
      <c r="B79" s="30" t="n">
        <v>64</v>
      </c>
      <c r="C79" s="20">
        <f>IF(B79&gt;$C$6*12,0,$C$10)</f>
        <v/>
      </c>
      <c r="D79" s="20">
        <f>IF(B79&gt;$C$6*12,0,C79-E79)</f>
        <v/>
      </c>
      <c r="E79" s="20">
        <f>IF(B79&gt;$C$6*12,0,F78*$C$8/12)</f>
        <v/>
      </c>
      <c r="F79" s="20">
        <f>IF(B79&gt;$C$6*12,0,MAX(0,F78-D79))</f>
        <v/>
      </c>
    </row>
    <row r="80">
      <c r="B80" s="30" t="n">
        <v>65</v>
      </c>
      <c r="C80" s="20">
        <f>IF(B80&gt;$C$6*12,0,$C$10)</f>
        <v/>
      </c>
      <c r="D80" s="20">
        <f>IF(B80&gt;$C$6*12,0,C80-E80)</f>
        <v/>
      </c>
      <c r="E80" s="20">
        <f>IF(B80&gt;$C$6*12,0,F79*$C$8/12)</f>
        <v/>
      </c>
      <c r="F80" s="20">
        <f>IF(B80&gt;$C$6*12,0,MAX(0,F79-D80))</f>
        <v/>
      </c>
    </row>
    <row r="81">
      <c r="B81" s="30" t="n">
        <v>66</v>
      </c>
      <c r="C81" s="20">
        <f>IF(B81&gt;$C$6*12,0,$C$10)</f>
        <v/>
      </c>
      <c r="D81" s="20">
        <f>IF(B81&gt;$C$6*12,0,C81-E81)</f>
        <v/>
      </c>
      <c r="E81" s="20">
        <f>IF(B81&gt;$C$6*12,0,F80*$C$8/12)</f>
        <v/>
      </c>
      <c r="F81" s="20">
        <f>IF(B81&gt;$C$6*12,0,MAX(0,F80-D81))</f>
        <v/>
      </c>
    </row>
    <row r="82">
      <c r="B82" s="30" t="n">
        <v>67</v>
      </c>
      <c r="C82" s="20">
        <f>IF(B82&gt;$C$6*12,0,$C$10)</f>
        <v/>
      </c>
      <c r="D82" s="20">
        <f>IF(B82&gt;$C$6*12,0,C82-E82)</f>
        <v/>
      </c>
      <c r="E82" s="20">
        <f>IF(B82&gt;$C$6*12,0,F81*$C$8/12)</f>
        <v/>
      </c>
      <c r="F82" s="20">
        <f>IF(B82&gt;$C$6*12,0,MAX(0,F81-D82))</f>
        <v/>
      </c>
    </row>
    <row r="83">
      <c r="B83" s="30" t="n">
        <v>68</v>
      </c>
      <c r="C83" s="20">
        <f>IF(B83&gt;$C$6*12,0,$C$10)</f>
        <v/>
      </c>
      <c r="D83" s="20">
        <f>IF(B83&gt;$C$6*12,0,C83-E83)</f>
        <v/>
      </c>
      <c r="E83" s="20">
        <f>IF(B83&gt;$C$6*12,0,F82*$C$8/12)</f>
        <v/>
      </c>
      <c r="F83" s="20">
        <f>IF(B83&gt;$C$6*12,0,MAX(0,F82-D83))</f>
        <v/>
      </c>
    </row>
    <row r="84">
      <c r="B84" s="30" t="n">
        <v>69</v>
      </c>
      <c r="C84" s="20">
        <f>IF(B84&gt;$C$6*12,0,$C$10)</f>
        <v/>
      </c>
      <c r="D84" s="20">
        <f>IF(B84&gt;$C$6*12,0,C84-E84)</f>
        <v/>
      </c>
      <c r="E84" s="20">
        <f>IF(B84&gt;$C$6*12,0,F83*$C$8/12)</f>
        <v/>
      </c>
      <c r="F84" s="20">
        <f>IF(B84&gt;$C$6*12,0,MAX(0,F83-D84))</f>
        <v/>
      </c>
    </row>
    <row r="85">
      <c r="B85" s="30" t="n">
        <v>70</v>
      </c>
      <c r="C85" s="20">
        <f>IF(B85&gt;$C$6*12,0,$C$10)</f>
        <v/>
      </c>
      <c r="D85" s="20">
        <f>IF(B85&gt;$C$6*12,0,C85-E85)</f>
        <v/>
      </c>
      <c r="E85" s="20">
        <f>IF(B85&gt;$C$6*12,0,F84*$C$8/12)</f>
        <v/>
      </c>
      <c r="F85" s="20">
        <f>IF(B85&gt;$C$6*12,0,MAX(0,F84-D85))</f>
        <v/>
      </c>
    </row>
    <row r="86">
      <c r="B86" s="30" t="n">
        <v>71</v>
      </c>
      <c r="C86" s="20">
        <f>IF(B86&gt;$C$6*12,0,$C$10)</f>
        <v/>
      </c>
      <c r="D86" s="20">
        <f>IF(B86&gt;$C$6*12,0,C86-E86)</f>
        <v/>
      </c>
      <c r="E86" s="20">
        <f>IF(B86&gt;$C$6*12,0,F85*$C$8/12)</f>
        <v/>
      </c>
      <c r="F86" s="20">
        <f>IF(B86&gt;$C$6*12,0,MAX(0,F85-D86))</f>
        <v/>
      </c>
    </row>
    <row r="87">
      <c r="B87" s="30" t="n">
        <v>72</v>
      </c>
      <c r="C87" s="20">
        <f>IF(B87&gt;$C$6*12,0,$C$10)</f>
        <v/>
      </c>
      <c r="D87" s="20">
        <f>IF(B87&gt;$C$6*12,0,C87-E87)</f>
        <v/>
      </c>
      <c r="E87" s="20">
        <f>IF(B87&gt;$C$6*12,0,F86*$C$8/12)</f>
        <v/>
      </c>
      <c r="F87" s="20">
        <f>IF(B87&gt;$C$6*12,0,MAX(0,F86-D87))</f>
        <v/>
      </c>
    </row>
    <row r="88">
      <c r="B88" s="30" t="n">
        <v>73</v>
      </c>
      <c r="C88" s="20">
        <f>IF(B88&gt;$C$6*12,0,$C$10)</f>
        <v/>
      </c>
      <c r="D88" s="20">
        <f>IF(B88&gt;$C$6*12,0,C88-E88)</f>
        <v/>
      </c>
      <c r="E88" s="20">
        <f>IF(B88&gt;$C$6*12,0,F87*$C$8/12)</f>
        <v/>
      </c>
      <c r="F88" s="20">
        <f>IF(B88&gt;$C$6*12,0,MAX(0,F87-D88))</f>
        <v/>
      </c>
    </row>
    <row r="89">
      <c r="B89" s="30" t="n">
        <v>74</v>
      </c>
      <c r="C89" s="20">
        <f>IF(B89&gt;$C$6*12,0,$C$10)</f>
        <v/>
      </c>
      <c r="D89" s="20">
        <f>IF(B89&gt;$C$6*12,0,C89-E89)</f>
        <v/>
      </c>
      <c r="E89" s="20">
        <f>IF(B89&gt;$C$6*12,0,F88*$C$8/12)</f>
        <v/>
      </c>
      <c r="F89" s="20">
        <f>IF(B89&gt;$C$6*12,0,MAX(0,F88-D89))</f>
        <v/>
      </c>
    </row>
    <row r="90">
      <c r="B90" s="30" t="n">
        <v>75</v>
      </c>
      <c r="C90" s="20">
        <f>IF(B90&gt;$C$6*12,0,$C$10)</f>
        <v/>
      </c>
      <c r="D90" s="20">
        <f>IF(B90&gt;$C$6*12,0,C90-E90)</f>
        <v/>
      </c>
      <c r="E90" s="20">
        <f>IF(B90&gt;$C$6*12,0,F89*$C$8/12)</f>
        <v/>
      </c>
      <c r="F90" s="20">
        <f>IF(B90&gt;$C$6*12,0,MAX(0,F89-D90))</f>
        <v/>
      </c>
    </row>
    <row r="91">
      <c r="B91" s="30" t="n">
        <v>76</v>
      </c>
      <c r="C91" s="20">
        <f>IF(B91&gt;$C$6*12,0,$C$10)</f>
        <v/>
      </c>
      <c r="D91" s="20">
        <f>IF(B91&gt;$C$6*12,0,C91-E91)</f>
        <v/>
      </c>
      <c r="E91" s="20">
        <f>IF(B91&gt;$C$6*12,0,F90*$C$8/12)</f>
        <v/>
      </c>
      <c r="F91" s="20">
        <f>IF(B91&gt;$C$6*12,0,MAX(0,F90-D91))</f>
        <v/>
      </c>
    </row>
    <row r="92">
      <c r="B92" s="30" t="n">
        <v>77</v>
      </c>
      <c r="C92" s="20">
        <f>IF(B92&gt;$C$6*12,0,$C$10)</f>
        <v/>
      </c>
      <c r="D92" s="20">
        <f>IF(B92&gt;$C$6*12,0,C92-E92)</f>
        <v/>
      </c>
      <c r="E92" s="20">
        <f>IF(B92&gt;$C$6*12,0,F91*$C$8/12)</f>
        <v/>
      </c>
      <c r="F92" s="20">
        <f>IF(B92&gt;$C$6*12,0,MAX(0,F91-D92))</f>
        <v/>
      </c>
    </row>
    <row r="93">
      <c r="B93" s="30" t="n">
        <v>78</v>
      </c>
      <c r="C93" s="20">
        <f>IF(B93&gt;$C$6*12,0,$C$10)</f>
        <v/>
      </c>
      <c r="D93" s="20">
        <f>IF(B93&gt;$C$6*12,0,C93-E93)</f>
        <v/>
      </c>
      <c r="E93" s="20">
        <f>IF(B93&gt;$C$6*12,0,F92*$C$8/12)</f>
        <v/>
      </c>
      <c r="F93" s="20">
        <f>IF(B93&gt;$C$6*12,0,MAX(0,F92-D93))</f>
        <v/>
      </c>
    </row>
    <row r="94">
      <c r="B94" s="30" t="n">
        <v>79</v>
      </c>
      <c r="C94" s="20">
        <f>IF(B94&gt;$C$6*12,0,$C$10)</f>
        <v/>
      </c>
      <c r="D94" s="20">
        <f>IF(B94&gt;$C$6*12,0,C94-E94)</f>
        <v/>
      </c>
      <c r="E94" s="20">
        <f>IF(B94&gt;$C$6*12,0,F93*$C$8/12)</f>
        <v/>
      </c>
      <c r="F94" s="20">
        <f>IF(B94&gt;$C$6*12,0,MAX(0,F93-D94))</f>
        <v/>
      </c>
    </row>
    <row r="95">
      <c r="B95" s="30" t="n">
        <v>80</v>
      </c>
      <c r="C95" s="20">
        <f>IF(B95&gt;$C$6*12,0,$C$10)</f>
        <v/>
      </c>
      <c r="D95" s="20">
        <f>IF(B95&gt;$C$6*12,0,C95-E95)</f>
        <v/>
      </c>
      <c r="E95" s="20">
        <f>IF(B95&gt;$C$6*12,0,F94*$C$8/12)</f>
        <v/>
      </c>
      <c r="F95" s="20">
        <f>IF(B95&gt;$C$6*12,0,MAX(0,F94-D95))</f>
        <v/>
      </c>
    </row>
    <row r="96">
      <c r="B96" s="30" t="n">
        <v>81</v>
      </c>
      <c r="C96" s="20">
        <f>IF(B96&gt;$C$6*12,0,$C$10)</f>
        <v/>
      </c>
      <c r="D96" s="20">
        <f>IF(B96&gt;$C$6*12,0,C96-E96)</f>
        <v/>
      </c>
      <c r="E96" s="20">
        <f>IF(B96&gt;$C$6*12,0,F95*$C$8/12)</f>
        <v/>
      </c>
      <c r="F96" s="20">
        <f>IF(B96&gt;$C$6*12,0,MAX(0,F95-D96))</f>
        <v/>
      </c>
    </row>
    <row r="97">
      <c r="B97" s="30" t="n">
        <v>82</v>
      </c>
      <c r="C97" s="20">
        <f>IF(B97&gt;$C$6*12,0,$C$10)</f>
        <v/>
      </c>
      <c r="D97" s="20">
        <f>IF(B97&gt;$C$6*12,0,C97-E97)</f>
        <v/>
      </c>
      <c r="E97" s="20">
        <f>IF(B97&gt;$C$6*12,0,F96*$C$8/12)</f>
        <v/>
      </c>
      <c r="F97" s="20">
        <f>IF(B97&gt;$C$6*12,0,MAX(0,F96-D97))</f>
        <v/>
      </c>
    </row>
    <row r="98">
      <c r="B98" s="30" t="n">
        <v>83</v>
      </c>
      <c r="C98" s="20">
        <f>IF(B98&gt;$C$6*12,0,$C$10)</f>
        <v/>
      </c>
      <c r="D98" s="20">
        <f>IF(B98&gt;$C$6*12,0,C98-E98)</f>
        <v/>
      </c>
      <c r="E98" s="20">
        <f>IF(B98&gt;$C$6*12,0,F97*$C$8/12)</f>
        <v/>
      </c>
      <c r="F98" s="20">
        <f>IF(B98&gt;$C$6*12,0,MAX(0,F97-D98))</f>
        <v/>
      </c>
    </row>
    <row r="99">
      <c r="B99" s="30" t="n">
        <v>84</v>
      </c>
      <c r="C99" s="20">
        <f>IF(B99&gt;$C$6*12,0,$C$10)</f>
        <v/>
      </c>
      <c r="D99" s="20">
        <f>IF(B99&gt;$C$6*12,0,C99-E99)</f>
        <v/>
      </c>
      <c r="E99" s="20">
        <f>IF(B99&gt;$C$6*12,0,F98*$C$8/12)</f>
        <v/>
      </c>
      <c r="F99" s="20">
        <f>IF(B99&gt;$C$6*12,0,MAX(0,F98-D99))</f>
        <v/>
      </c>
    </row>
    <row r="100">
      <c r="B100" s="30" t="n">
        <v>85</v>
      </c>
      <c r="C100" s="20">
        <f>IF(B100&gt;$C$6*12,0,$C$10)</f>
        <v/>
      </c>
      <c r="D100" s="20">
        <f>IF(B100&gt;$C$6*12,0,C100-E100)</f>
        <v/>
      </c>
      <c r="E100" s="20">
        <f>IF(B100&gt;$C$6*12,0,F99*$C$8/12)</f>
        <v/>
      </c>
      <c r="F100" s="20">
        <f>IF(B100&gt;$C$6*12,0,MAX(0,F99-D100))</f>
        <v/>
      </c>
    </row>
    <row r="101">
      <c r="B101" s="30" t="n">
        <v>86</v>
      </c>
      <c r="C101" s="20">
        <f>IF(B101&gt;$C$6*12,0,$C$10)</f>
        <v/>
      </c>
      <c r="D101" s="20">
        <f>IF(B101&gt;$C$6*12,0,C101-E101)</f>
        <v/>
      </c>
      <c r="E101" s="20">
        <f>IF(B101&gt;$C$6*12,0,F100*$C$8/12)</f>
        <v/>
      </c>
      <c r="F101" s="20">
        <f>IF(B101&gt;$C$6*12,0,MAX(0,F100-D101))</f>
        <v/>
      </c>
    </row>
    <row r="102">
      <c r="B102" s="30" t="n">
        <v>87</v>
      </c>
      <c r="C102" s="20">
        <f>IF(B102&gt;$C$6*12,0,$C$10)</f>
        <v/>
      </c>
      <c r="D102" s="20">
        <f>IF(B102&gt;$C$6*12,0,C102-E102)</f>
        <v/>
      </c>
      <c r="E102" s="20">
        <f>IF(B102&gt;$C$6*12,0,F101*$C$8/12)</f>
        <v/>
      </c>
      <c r="F102" s="20">
        <f>IF(B102&gt;$C$6*12,0,MAX(0,F101-D102))</f>
        <v/>
      </c>
    </row>
    <row r="103">
      <c r="B103" s="30" t="n">
        <v>88</v>
      </c>
      <c r="C103" s="20">
        <f>IF(B103&gt;$C$6*12,0,$C$10)</f>
        <v/>
      </c>
      <c r="D103" s="20">
        <f>IF(B103&gt;$C$6*12,0,C103-E103)</f>
        <v/>
      </c>
      <c r="E103" s="20">
        <f>IF(B103&gt;$C$6*12,0,F102*$C$8/12)</f>
        <v/>
      </c>
      <c r="F103" s="20">
        <f>IF(B103&gt;$C$6*12,0,MAX(0,F102-D103))</f>
        <v/>
      </c>
    </row>
    <row r="104">
      <c r="B104" s="30" t="n">
        <v>89</v>
      </c>
      <c r="C104" s="20">
        <f>IF(B104&gt;$C$6*12,0,$C$10)</f>
        <v/>
      </c>
      <c r="D104" s="20">
        <f>IF(B104&gt;$C$6*12,0,C104-E104)</f>
        <v/>
      </c>
      <c r="E104" s="20">
        <f>IF(B104&gt;$C$6*12,0,F103*$C$8/12)</f>
        <v/>
      </c>
      <c r="F104" s="20">
        <f>IF(B104&gt;$C$6*12,0,MAX(0,F103-D104))</f>
        <v/>
      </c>
    </row>
    <row r="105">
      <c r="B105" s="30" t="n">
        <v>90</v>
      </c>
      <c r="C105" s="20">
        <f>IF(B105&gt;$C$6*12,0,$C$10)</f>
        <v/>
      </c>
      <c r="D105" s="20">
        <f>IF(B105&gt;$C$6*12,0,C105-E105)</f>
        <v/>
      </c>
      <c r="E105" s="20">
        <f>IF(B105&gt;$C$6*12,0,F104*$C$8/12)</f>
        <v/>
      </c>
      <c r="F105" s="20">
        <f>IF(B105&gt;$C$6*12,0,MAX(0,F104-D105))</f>
        <v/>
      </c>
    </row>
    <row r="106">
      <c r="B106" s="30" t="n">
        <v>91</v>
      </c>
      <c r="C106" s="20">
        <f>IF(B106&gt;$C$6*12,0,$C$10)</f>
        <v/>
      </c>
      <c r="D106" s="20">
        <f>IF(B106&gt;$C$6*12,0,C106-E106)</f>
        <v/>
      </c>
      <c r="E106" s="20">
        <f>IF(B106&gt;$C$6*12,0,F105*$C$8/12)</f>
        <v/>
      </c>
      <c r="F106" s="20">
        <f>IF(B106&gt;$C$6*12,0,MAX(0,F105-D106))</f>
        <v/>
      </c>
    </row>
    <row r="107">
      <c r="B107" s="30" t="n">
        <v>92</v>
      </c>
      <c r="C107" s="20">
        <f>IF(B107&gt;$C$6*12,0,$C$10)</f>
        <v/>
      </c>
      <c r="D107" s="20">
        <f>IF(B107&gt;$C$6*12,0,C107-E107)</f>
        <v/>
      </c>
      <c r="E107" s="20">
        <f>IF(B107&gt;$C$6*12,0,F106*$C$8/12)</f>
        <v/>
      </c>
      <c r="F107" s="20">
        <f>IF(B107&gt;$C$6*12,0,MAX(0,F106-D107))</f>
        <v/>
      </c>
    </row>
    <row r="108">
      <c r="B108" s="30" t="n">
        <v>93</v>
      </c>
      <c r="C108" s="20">
        <f>IF(B108&gt;$C$6*12,0,$C$10)</f>
        <v/>
      </c>
      <c r="D108" s="20">
        <f>IF(B108&gt;$C$6*12,0,C108-E108)</f>
        <v/>
      </c>
      <c r="E108" s="20">
        <f>IF(B108&gt;$C$6*12,0,F107*$C$8/12)</f>
        <v/>
      </c>
      <c r="F108" s="20">
        <f>IF(B108&gt;$C$6*12,0,MAX(0,F107-D108))</f>
        <v/>
      </c>
    </row>
    <row r="109">
      <c r="B109" s="30" t="n">
        <v>94</v>
      </c>
      <c r="C109" s="20">
        <f>IF(B109&gt;$C$6*12,0,$C$10)</f>
        <v/>
      </c>
      <c r="D109" s="20">
        <f>IF(B109&gt;$C$6*12,0,C109-E109)</f>
        <v/>
      </c>
      <c r="E109" s="20">
        <f>IF(B109&gt;$C$6*12,0,F108*$C$8/12)</f>
        <v/>
      </c>
      <c r="F109" s="20">
        <f>IF(B109&gt;$C$6*12,0,MAX(0,F108-D109))</f>
        <v/>
      </c>
    </row>
    <row r="110">
      <c r="B110" s="30" t="n">
        <v>95</v>
      </c>
      <c r="C110" s="20">
        <f>IF(B110&gt;$C$6*12,0,$C$10)</f>
        <v/>
      </c>
      <c r="D110" s="20">
        <f>IF(B110&gt;$C$6*12,0,C110-E110)</f>
        <v/>
      </c>
      <c r="E110" s="20">
        <f>IF(B110&gt;$C$6*12,0,F109*$C$8/12)</f>
        <v/>
      </c>
      <c r="F110" s="20">
        <f>IF(B110&gt;$C$6*12,0,MAX(0,F109-D110))</f>
        <v/>
      </c>
    </row>
    <row r="111">
      <c r="B111" s="30" t="n">
        <v>96</v>
      </c>
      <c r="C111" s="20">
        <f>IF(B111&gt;$C$6*12,0,$C$10)</f>
        <v/>
      </c>
      <c r="D111" s="20">
        <f>IF(B111&gt;$C$6*12,0,C111-E111)</f>
        <v/>
      </c>
      <c r="E111" s="20">
        <f>IF(B111&gt;$C$6*12,0,F110*$C$8/12)</f>
        <v/>
      </c>
      <c r="F111" s="20">
        <f>IF(B111&gt;$C$6*12,0,MAX(0,F110-D111))</f>
        <v/>
      </c>
    </row>
    <row r="112">
      <c r="B112" s="30" t="n">
        <v>97</v>
      </c>
      <c r="C112" s="20">
        <f>IF(B112&gt;$C$6*12,0,$C$10)</f>
        <v/>
      </c>
      <c r="D112" s="20">
        <f>IF(B112&gt;$C$6*12,0,C112-E112)</f>
        <v/>
      </c>
      <c r="E112" s="20">
        <f>IF(B112&gt;$C$6*12,0,F111*$C$8/12)</f>
        <v/>
      </c>
      <c r="F112" s="20">
        <f>IF(B112&gt;$C$6*12,0,MAX(0,F111-D112))</f>
        <v/>
      </c>
    </row>
    <row r="113">
      <c r="B113" s="30" t="n">
        <v>98</v>
      </c>
      <c r="C113" s="20">
        <f>IF(B113&gt;$C$6*12,0,$C$10)</f>
        <v/>
      </c>
      <c r="D113" s="20">
        <f>IF(B113&gt;$C$6*12,0,C113-E113)</f>
        <v/>
      </c>
      <c r="E113" s="20">
        <f>IF(B113&gt;$C$6*12,0,F112*$C$8/12)</f>
        <v/>
      </c>
      <c r="F113" s="20">
        <f>IF(B113&gt;$C$6*12,0,MAX(0,F112-D113))</f>
        <v/>
      </c>
    </row>
    <row r="114">
      <c r="B114" s="30" t="n">
        <v>99</v>
      </c>
      <c r="C114" s="20">
        <f>IF(B114&gt;$C$6*12,0,$C$10)</f>
        <v/>
      </c>
      <c r="D114" s="20">
        <f>IF(B114&gt;$C$6*12,0,C114-E114)</f>
        <v/>
      </c>
      <c r="E114" s="20">
        <f>IF(B114&gt;$C$6*12,0,F113*$C$8/12)</f>
        <v/>
      </c>
      <c r="F114" s="20">
        <f>IF(B114&gt;$C$6*12,0,MAX(0,F113-D114))</f>
        <v/>
      </c>
    </row>
    <row r="115">
      <c r="B115" s="30" t="n">
        <v>100</v>
      </c>
      <c r="C115" s="20">
        <f>IF(B115&gt;$C$6*12,0,$C$10)</f>
        <v/>
      </c>
      <c r="D115" s="20">
        <f>IF(B115&gt;$C$6*12,0,C115-E115)</f>
        <v/>
      </c>
      <c r="E115" s="20">
        <f>IF(B115&gt;$C$6*12,0,F114*$C$8/12)</f>
        <v/>
      </c>
      <c r="F115" s="20">
        <f>IF(B115&gt;$C$6*12,0,MAX(0,F114-D115))</f>
        <v/>
      </c>
    </row>
    <row r="116">
      <c r="B116" s="30" t="n">
        <v>101</v>
      </c>
      <c r="C116" s="20">
        <f>IF(B116&gt;$C$6*12,0,$C$10)</f>
        <v/>
      </c>
      <c r="D116" s="20">
        <f>IF(B116&gt;$C$6*12,0,C116-E116)</f>
        <v/>
      </c>
      <c r="E116" s="20">
        <f>IF(B116&gt;$C$6*12,0,F115*$C$8/12)</f>
        <v/>
      </c>
      <c r="F116" s="20">
        <f>IF(B116&gt;$C$6*12,0,MAX(0,F115-D116))</f>
        <v/>
      </c>
    </row>
    <row r="117">
      <c r="B117" s="30" t="n">
        <v>102</v>
      </c>
      <c r="C117" s="20">
        <f>IF(B117&gt;$C$6*12,0,$C$10)</f>
        <v/>
      </c>
      <c r="D117" s="20">
        <f>IF(B117&gt;$C$6*12,0,C117-E117)</f>
        <v/>
      </c>
      <c r="E117" s="20">
        <f>IF(B117&gt;$C$6*12,0,F116*$C$8/12)</f>
        <v/>
      </c>
      <c r="F117" s="20">
        <f>IF(B117&gt;$C$6*12,0,MAX(0,F116-D117))</f>
        <v/>
      </c>
    </row>
    <row r="118">
      <c r="B118" s="30" t="n">
        <v>103</v>
      </c>
      <c r="C118" s="20">
        <f>IF(B118&gt;$C$6*12,0,$C$10)</f>
        <v/>
      </c>
      <c r="D118" s="20">
        <f>IF(B118&gt;$C$6*12,0,C118-E118)</f>
        <v/>
      </c>
      <c r="E118" s="20">
        <f>IF(B118&gt;$C$6*12,0,F117*$C$8/12)</f>
        <v/>
      </c>
      <c r="F118" s="20">
        <f>IF(B118&gt;$C$6*12,0,MAX(0,F117-D118))</f>
        <v/>
      </c>
    </row>
    <row r="119">
      <c r="B119" s="30" t="n">
        <v>104</v>
      </c>
      <c r="C119" s="20">
        <f>IF(B119&gt;$C$6*12,0,$C$10)</f>
        <v/>
      </c>
      <c r="D119" s="20">
        <f>IF(B119&gt;$C$6*12,0,C119-E119)</f>
        <v/>
      </c>
      <c r="E119" s="20">
        <f>IF(B119&gt;$C$6*12,0,F118*$C$8/12)</f>
        <v/>
      </c>
      <c r="F119" s="20">
        <f>IF(B119&gt;$C$6*12,0,MAX(0,F118-D119))</f>
        <v/>
      </c>
    </row>
    <row r="120">
      <c r="B120" s="30" t="n">
        <v>105</v>
      </c>
      <c r="C120" s="20">
        <f>IF(B120&gt;$C$6*12,0,$C$10)</f>
        <v/>
      </c>
      <c r="D120" s="20">
        <f>IF(B120&gt;$C$6*12,0,C120-E120)</f>
        <v/>
      </c>
      <c r="E120" s="20">
        <f>IF(B120&gt;$C$6*12,0,F119*$C$8/12)</f>
        <v/>
      </c>
      <c r="F120" s="20">
        <f>IF(B120&gt;$C$6*12,0,MAX(0,F119-D120))</f>
        <v/>
      </c>
    </row>
    <row r="121">
      <c r="B121" s="30" t="n">
        <v>106</v>
      </c>
      <c r="C121" s="20">
        <f>IF(B121&gt;$C$6*12,0,$C$10)</f>
        <v/>
      </c>
      <c r="D121" s="20">
        <f>IF(B121&gt;$C$6*12,0,C121-E121)</f>
        <v/>
      </c>
      <c r="E121" s="20">
        <f>IF(B121&gt;$C$6*12,0,F120*$C$8/12)</f>
        <v/>
      </c>
      <c r="F121" s="20">
        <f>IF(B121&gt;$C$6*12,0,MAX(0,F120-D121))</f>
        <v/>
      </c>
    </row>
    <row r="122">
      <c r="B122" s="30" t="n">
        <v>107</v>
      </c>
      <c r="C122" s="20">
        <f>IF(B122&gt;$C$6*12,0,$C$10)</f>
        <v/>
      </c>
      <c r="D122" s="20">
        <f>IF(B122&gt;$C$6*12,0,C122-E122)</f>
        <v/>
      </c>
      <c r="E122" s="20">
        <f>IF(B122&gt;$C$6*12,0,F121*$C$8/12)</f>
        <v/>
      </c>
      <c r="F122" s="20">
        <f>IF(B122&gt;$C$6*12,0,MAX(0,F121-D122))</f>
        <v/>
      </c>
    </row>
    <row r="123">
      <c r="B123" s="30" t="n">
        <v>108</v>
      </c>
      <c r="C123" s="20">
        <f>IF(B123&gt;$C$6*12,0,$C$10)</f>
        <v/>
      </c>
      <c r="D123" s="20">
        <f>IF(B123&gt;$C$6*12,0,C123-E123)</f>
        <v/>
      </c>
      <c r="E123" s="20">
        <f>IF(B123&gt;$C$6*12,0,F122*$C$8/12)</f>
        <v/>
      </c>
      <c r="F123" s="20">
        <f>IF(B123&gt;$C$6*12,0,MAX(0,F122-D123))</f>
        <v/>
      </c>
    </row>
    <row r="124">
      <c r="B124" s="30" t="n">
        <v>109</v>
      </c>
      <c r="C124" s="20">
        <f>IF(B124&gt;$C$6*12,0,$C$10)</f>
        <v/>
      </c>
      <c r="D124" s="20">
        <f>IF(B124&gt;$C$6*12,0,C124-E124)</f>
        <v/>
      </c>
      <c r="E124" s="20">
        <f>IF(B124&gt;$C$6*12,0,F123*$C$8/12)</f>
        <v/>
      </c>
      <c r="F124" s="20">
        <f>IF(B124&gt;$C$6*12,0,MAX(0,F123-D124))</f>
        <v/>
      </c>
    </row>
    <row r="125">
      <c r="B125" s="30" t="n">
        <v>110</v>
      </c>
      <c r="C125" s="20">
        <f>IF(B125&gt;$C$6*12,0,$C$10)</f>
        <v/>
      </c>
      <c r="D125" s="20">
        <f>IF(B125&gt;$C$6*12,0,C125-E125)</f>
        <v/>
      </c>
      <c r="E125" s="20">
        <f>IF(B125&gt;$C$6*12,0,F124*$C$8/12)</f>
        <v/>
      </c>
      <c r="F125" s="20">
        <f>IF(B125&gt;$C$6*12,0,MAX(0,F124-D125))</f>
        <v/>
      </c>
    </row>
    <row r="126">
      <c r="B126" s="30" t="n">
        <v>111</v>
      </c>
      <c r="C126" s="20">
        <f>IF(B126&gt;$C$6*12,0,$C$10)</f>
        <v/>
      </c>
      <c r="D126" s="20">
        <f>IF(B126&gt;$C$6*12,0,C126-E126)</f>
        <v/>
      </c>
      <c r="E126" s="20">
        <f>IF(B126&gt;$C$6*12,0,F125*$C$8/12)</f>
        <v/>
      </c>
      <c r="F126" s="20">
        <f>IF(B126&gt;$C$6*12,0,MAX(0,F125-D126))</f>
        <v/>
      </c>
    </row>
    <row r="127">
      <c r="B127" s="30" t="n">
        <v>112</v>
      </c>
      <c r="C127" s="20">
        <f>IF(B127&gt;$C$6*12,0,$C$10)</f>
        <v/>
      </c>
      <c r="D127" s="20">
        <f>IF(B127&gt;$C$6*12,0,C127-E127)</f>
        <v/>
      </c>
      <c r="E127" s="20">
        <f>IF(B127&gt;$C$6*12,0,F126*$C$8/12)</f>
        <v/>
      </c>
      <c r="F127" s="20">
        <f>IF(B127&gt;$C$6*12,0,MAX(0,F126-D127))</f>
        <v/>
      </c>
    </row>
    <row r="128">
      <c r="B128" s="30" t="n">
        <v>113</v>
      </c>
      <c r="C128" s="20">
        <f>IF(B128&gt;$C$6*12,0,$C$10)</f>
        <v/>
      </c>
      <c r="D128" s="20">
        <f>IF(B128&gt;$C$6*12,0,C128-E128)</f>
        <v/>
      </c>
      <c r="E128" s="20">
        <f>IF(B128&gt;$C$6*12,0,F127*$C$8/12)</f>
        <v/>
      </c>
      <c r="F128" s="20">
        <f>IF(B128&gt;$C$6*12,0,MAX(0,F127-D128))</f>
        <v/>
      </c>
    </row>
    <row r="129">
      <c r="B129" s="30" t="n">
        <v>114</v>
      </c>
      <c r="C129" s="20">
        <f>IF(B129&gt;$C$6*12,0,$C$10)</f>
        <v/>
      </c>
      <c r="D129" s="20">
        <f>IF(B129&gt;$C$6*12,0,C129-E129)</f>
        <v/>
      </c>
      <c r="E129" s="20">
        <f>IF(B129&gt;$C$6*12,0,F128*$C$8/12)</f>
        <v/>
      </c>
      <c r="F129" s="20">
        <f>IF(B129&gt;$C$6*12,0,MAX(0,F128-D129))</f>
        <v/>
      </c>
    </row>
    <row r="130">
      <c r="B130" s="30" t="n">
        <v>115</v>
      </c>
      <c r="C130" s="20">
        <f>IF(B130&gt;$C$6*12,0,$C$10)</f>
        <v/>
      </c>
      <c r="D130" s="20">
        <f>IF(B130&gt;$C$6*12,0,C130-E130)</f>
        <v/>
      </c>
      <c r="E130" s="20">
        <f>IF(B130&gt;$C$6*12,0,F129*$C$8/12)</f>
        <v/>
      </c>
      <c r="F130" s="20">
        <f>IF(B130&gt;$C$6*12,0,MAX(0,F129-D130))</f>
        <v/>
      </c>
    </row>
    <row r="131">
      <c r="B131" s="30" t="n">
        <v>116</v>
      </c>
      <c r="C131" s="20">
        <f>IF(B131&gt;$C$6*12,0,$C$10)</f>
        <v/>
      </c>
      <c r="D131" s="20">
        <f>IF(B131&gt;$C$6*12,0,C131-E131)</f>
        <v/>
      </c>
      <c r="E131" s="20">
        <f>IF(B131&gt;$C$6*12,0,F130*$C$8/12)</f>
        <v/>
      </c>
      <c r="F131" s="20">
        <f>IF(B131&gt;$C$6*12,0,MAX(0,F130-D131))</f>
        <v/>
      </c>
    </row>
    <row r="132">
      <c r="B132" s="30" t="n">
        <v>117</v>
      </c>
      <c r="C132" s="20">
        <f>IF(B132&gt;$C$6*12,0,$C$10)</f>
        <v/>
      </c>
      <c r="D132" s="20">
        <f>IF(B132&gt;$C$6*12,0,C132-E132)</f>
        <v/>
      </c>
      <c r="E132" s="20">
        <f>IF(B132&gt;$C$6*12,0,F131*$C$8/12)</f>
        <v/>
      </c>
      <c r="F132" s="20">
        <f>IF(B132&gt;$C$6*12,0,MAX(0,F131-D132))</f>
        <v/>
      </c>
    </row>
    <row r="133">
      <c r="B133" s="30" t="n">
        <v>118</v>
      </c>
      <c r="C133" s="20">
        <f>IF(B133&gt;$C$6*12,0,$C$10)</f>
        <v/>
      </c>
      <c r="D133" s="20">
        <f>IF(B133&gt;$C$6*12,0,C133-E133)</f>
        <v/>
      </c>
      <c r="E133" s="20">
        <f>IF(B133&gt;$C$6*12,0,F132*$C$8/12)</f>
        <v/>
      </c>
      <c r="F133" s="20">
        <f>IF(B133&gt;$C$6*12,0,MAX(0,F132-D133))</f>
        <v/>
      </c>
    </row>
    <row r="134">
      <c r="B134" s="30" t="n">
        <v>119</v>
      </c>
      <c r="C134" s="20">
        <f>IF(B134&gt;$C$6*12,0,$C$10)</f>
        <v/>
      </c>
      <c r="D134" s="20">
        <f>IF(B134&gt;$C$6*12,0,C134-E134)</f>
        <v/>
      </c>
      <c r="E134" s="20">
        <f>IF(B134&gt;$C$6*12,0,F133*$C$8/12)</f>
        <v/>
      </c>
      <c r="F134" s="20">
        <f>IF(B134&gt;$C$6*12,0,MAX(0,F133-D134))</f>
        <v/>
      </c>
    </row>
    <row r="135">
      <c r="B135" s="30" t="n">
        <v>120</v>
      </c>
      <c r="C135" s="20">
        <f>IF(B135&gt;$C$6*12,0,$C$10)</f>
        <v/>
      </c>
      <c r="D135" s="20">
        <f>IF(B135&gt;$C$6*12,0,C135-E135)</f>
        <v/>
      </c>
      <c r="E135" s="20">
        <f>IF(B135&gt;$C$6*12,0,F134*$C$8/12)</f>
        <v/>
      </c>
      <c r="F135" s="20">
        <f>IF(B135&gt;$C$6*12,0,MAX(0,F134-D135))</f>
        <v/>
      </c>
    </row>
    <row r="136">
      <c r="B136" s="30" t="n">
        <v>121</v>
      </c>
      <c r="C136" s="20">
        <f>IF(B136&gt;$C$6*12,0,$C$10)</f>
        <v/>
      </c>
      <c r="D136" s="20">
        <f>IF(B136&gt;$C$6*12,0,C136-E136)</f>
        <v/>
      </c>
      <c r="E136" s="20">
        <f>IF(B136&gt;$C$6*12,0,F135*$C$8/12)</f>
        <v/>
      </c>
      <c r="F136" s="20">
        <f>IF(B136&gt;$C$6*12,0,MAX(0,F135-D136))</f>
        <v/>
      </c>
    </row>
    <row r="137">
      <c r="B137" s="30" t="n">
        <v>122</v>
      </c>
      <c r="C137" s="20">
        <f>IF(B137&gt;$C$6*12,0,$C$10)</f>
        <v/>
      </c>
      <c r="D137" s="20">
        <f>IF(B137&gt;$C$6*12,0,C137-E137)</f>
        <v/>
      </c>
      <c r="E137" s="20">
        <f>IF(B137&gt;$C$6*12,0,F136*$C$8/12)</f>
        <v/>
      </c>
      <c r="F137" s="20">
        <f>IF(B137&gt;$C$6*12,0,MAX(0,F136-D137))</f>
        <v/>
      </c>
    </row>
    <row r="138">
      <c r="B138" s="30" t="n">
        <v>123</v>
      </c>
      <c r="C138" s="20">
        <f>IF(B138&gt;$C$6*12,0,$C$10)</f>
        <v/>
      </c>
      <c r="D138" s="20">
        <f>IF(B138&gt;$C$6*12,0,C138-E138)</f>
        <v/>
      </c>
      <c r="E138" s="20">
        <f>IF(B138&gt;$C$6*12,0,F137*$C$8/12)</f>
        <v/>
      </c>
      <c r="F138" s="20">
        <f>IF(B138&gt;$C$6*12,0,MAX(0,F137-D138))</f>
        <v/>
      </c>
    </row>
    <row r="139">
      <c r="B139" s="30" t="n">
        <v>124</v>
      </c>
      <c r="C139" s="20">
        <f>IF(B139&gt;$C$6*12,0,$C$10)</f>
        <v/>
      </c>
      <c r="D139" s="20">
        <f>IF(B139&gt;$C$6*12,0,C139-E139)</f>
        <v/>
      </c>
      <c r="E139" s="20">
        <f>IF(B139&gt;$C$6*12,0,F138*$C$8/12)</f>
        <v/>
      </c>
      <c r="F139" s="20">
        <f>IF(B139&gt;$C$6*12,0,MAX(0,F138-D139))</f>
        <v/>
      </c>
    </row>
    <row r="140">
      <c r="B140" s="30" t="n">
        <v>125</v>
      </c>
      <c r="C140" s="20">
        <f>IF(B140&gt;$C$6*12,0,$C$10)</f>
        <v/>
      </c>
      <c r="D140" s="20">
        <f>IF(B140&gt;$C$6*12,0,C140-E140)</f>
        <v/>
      </c>
      <c r="E140" s="20">
        <f>IF(B140&gt;$C$6*12,0,F139*$C$8/12)</f>
        <v/>
      </c>
      <c r="F140" s="20">
        <f>IF(B140&gt;$C$6*12,0,MAX(0,F139-D140))</f>
        <v/>
      </c>
    </row>
    <row r="141">
      <c r="B141" s="30" t="n">
        <v>126</v>
      </c>
      <c r="C141" s="20">
        <f>IF(B141&gt;$C$6*12,0,$C$10)</f>
        <v/>
      </c>
      <c r="D141" s="20">
        <f>IF(B141&gt;$C$6*12,0,C141-E141)</f>
        <v/>
      </c>
      <c r="E141" s="20">
        <f>IF(B141&gt;$C$6*12,0,F140*$C$8/12)</f>
        <v/>
      </c>
      <c r="F141" s="20">
        <f>IF(B141&gt;$C$6*12,0,MAX(0,F140-D141))</f>
        <v/>
      </c>
    </row>
    <row r="142">
      <c r="B142" s="30" t="n">
        <v>127</v>
      </c>
      <c r="C142" s="20">
        <f>IF(B142&gt;$C$6*12,0,$C$10)</f>
        <v/>
      </c>
      <c r="D142" s="20">
        <f>IF(B142&gt;$C$6*12,0,C142-E142)</f>
        <v/>
      </c>
      <c r="E142" s="20">
        <f>IF(B142&gt;$C$6*12,0,F141*$C$8/12)</f>
        <v/>
      </c>
      <c r="F142" s="20">
        <f>IF(B142&gt;$C$6*12,0,MAX(0,F141-D142))</f>
        <v/>
      </c>
    </row>
    <row r="143">
      <c r="B143" s="30" t="n">
        <v>128</v>
      </c>
      <c r="C143" s="20">
        <f>IF(B143&gt;$C$6*12,0,$C$10)</f>
        <v/>
      </c>
      <c r="D143" s="20">
        <f>IF(B143&gt;$C$6*12,0,C143-E143)</f>
        <v/>
      </c>
      <c r="E143" s="20">
        <f>IF(B143&gt;$C$6*12,0,F142*$C$8/12)</f>
        <v/>
      </c>
      <c r="F143" s="20">
        <f>IF(B143&gt;$C$6*12,0,MAX(0,F142-D143))</f>
        <v/>
      </c>
    </row>
    <row r="144">
      <c r="B144" s="30" t="n">
        <v>129</v>
      </c>
      <c r="C144" s="20">
        <f>IF(B144&gt;$C$6*12,0,$C$10)</f>
        <v/>
      </c>
      <c r="D144" s="20">
        <f>IF(B144&gt;$C$6*12,0,C144-E144)</f>
        <v/>
      </c>
      <c r="E144" s="20">
        <f>IF(B144&gt;$C$6*12,0,F143*$C$8/12)</f>
        <v/>
      </c>
      <c r="F144" s="20">
        <f>IF(B144&gt;$C$6*12,0,MAX(0,F143-D144))</f>
        <v/>
      </c>
    </row>
    <row r="145">
      <c r="B145" s="30" t="n">
        <v>130</v>
      </c>
      <c r="C145" s="20">
        <f>IF(B145&gt;$C$6*12,0,$C$10)</f>
        <v/>
      </c>
      <c r="D145" s="20">
        <f>IF(B145&gt;$C$6*12,0,C145-E145)</f>
        <v/>
      </c>
      <c r="E145" s="20">
        <f>IF(B145&gt;$C$6*12,0,F144*$C$8/12)</f>
        <v/>
      </c>
      <c r="F145" s="20">
        <f>IF(B145&gt;$C$6*12,0,MAX(0,F144-D145))</f>
        <v/>
      </c>
    </row>
    <row r="146">
      <c r="B146" s="30" t="n">
        <v>131</v>
      </c>
      <c r="C146" s="20">
        <f>IF(B146&gt;$C$6*12,0,$C$10)</f>
        <v/>
      </c>
      <c r="D146" s="20">
        <f>IF(B146&gt;$C$6*12,0,C146-E146)</f>
        <v/>
      </c>
      <c r="E146" s="20">
        <f>IF(B146&gt;$C$6*12,0,F145*$C$8/12)</f>
        <v/>
      </c>
      <c r="F146" s="20">
        <f>IF(B146&gt;$C$6*12,0,MAX(0,F145-D146))</f>
        <v/>
      </c>
    </row>
    <row r="147">
      <c r="B147" s="30" t="n">
        <v>132</v>
      </c>
      <c r="C147" s="20">
        <f>IF(B147&gt;$C$6*12,0,$C$10)</f>
        <v/>
      </c>
      <c r="D147" s="20">
        <f>IF(B147&gt;$C$6*12,0,C147-E147)</f>
        <v/>
      </c>
      <c r="E147" s="20">
        <f>IF(B147&gt;$C$6*12,0,F146*$C$8/12)</f>
        <v/>
      </c>
      <c r="F147" s="20">
        <f>IF(B147&gt;$C$6*12,0,MAX(0,F146-D147))</f>
        <v/>
      </c>
    </row>
    <row r="148">
      <c r="B148" s="30" t="n">
        <v>133</v>
      </c>
      <c r="C148" s="20">
        <f>IF(B148&gt;$C$6*12,0,$C$10)</f>
        <v/>
      </c>
      <c r="D148" s="20">
        <f>IF(B148&gt;$C$6*12,0,C148-E148)</f>
        <v/>
      </c>
      <c r="E148" s="20">
        <f>IF(B148&gt;$C$6*12,0,F147*$C$8/12)</f>
        <v/>
      </c>
      <c r="F148" s="20">
        <f>IF(B148&gt;$C$6*12,0,MAX(0,F147-D148))</f>
        <v/>
      </c>
    </row>
    <row r="149">
      <c r="B149" s="30" t="n">
        <v>134</v>
      </c>
      <c r="C149" s="20">
        <f>IF(B149&gt;$C$6*12,0,$C$10)</f>
        <v/>
      </c>
      <c r="D149" s="20">
        <f>IF(B149&gt;$C$6*12,0,C149-E149)</f>
        <v/>
      </c>
      <c r="E149" s="20">
        <f>IF(B149&gt;$C$6*12,0,F148*$C$8/12)</f>
        <v/>
      </c>
      <c r="F149" s="20">
        <f>IF(B149&gt;$C$6*12,0,MAX(0,F148-D149))</f>
        <v/>
      </c>
    </row>
    <row r="150">
      <c r="B150" s="30" t="n">
        <v>135</v>
      </c>
      <c r="C150" s="20">
        <f>IF(B150&gt;$C$6*12,0,$C$10)</f>
        <v/>
      </c>
      <c r="D150" s="20">
        <f>IF(B150&gt;$C$6*12,0,C150-E150)</f>
        <v/>
      </c>
      <c r="E150" s="20">
        <f>IF(B150&gt;$C$6*12,0,F149*$C$8/12)</f>
        <v/>
      </c>
      <c r="F150" s="20">
        <f>IF(B150&gt;$C$6*12,0,MAX(0,F149-D150))</f>
        <v/>
      </c>
    </row>
    <row r="151">
      <c r="B151" s="30" t="n">
        <v>136</v>
      </c>
      <c r="C151" s="20">
        <f>IF(B151&gt;$C$6*12,0,$C$10)</f>
        <v/>
      </c>
      <c r="D151" s="20">
        <f>IF(B151&gt;$C$6*12,0,C151-E151)</f>
        <v/>
      </c>
      <c r="E151" s="20">
        <f>IF(B151&gt;$C$6*12,0,F150*$C$8/12)</f>
        <v/>
      </c>
      <c r="F151" s="20">
        <f>IF(B151&gt;$C$6*12,0,MAX(0,F150-D151))</f>
        <v/>
      </c>
    </row>
    <row r="152">
      <c r="B152" s="30" t="n">
        <v>137</v>
      </c>
      <c r="C152" s="20">
        <f>IF(B152&gt;$C$6*12,0,$C$10)</f>
        <v/>
      </c>
      <c r="D152" s="20">
        <f>IF(B152&gt;$C$6*12,0,C152-E152)</f>
        <v/>
      </c>
      <c r="E152" s="20">
        <f>IF(B152&gt;$C$6*12,0,F151*$C$8/12)</f>
        <v/>
      </c>
      <c r="F152" s="20">
        <f>IF(B152&gt;$C$6*12,0,MAX(0,F151-D152))</f>
        <v/>
      </c>
    </row>
    <row r="153">
      <c r="B153" s="30" t="n">
        <v>138</v>
      </c>
      <c r="C153" s="20">
        <f>IF(B153&gt;$C$6*12,0,$C$10)</f>
        <v/>
      </c>
      <c r="D153" s="20">
        <f>IF(B153&gt;$C$6*12,0,C153-E153)</f>
        <v/>
      </c>
      <c r="E153" s="20">
        <f>IF(B153&gt;$C$6*12,0,F152*$C$8/12)</f>
        <v/>
      </c>
      <c r="F153" s="20">
        <f>IF(B153&gt;$C$6*12,0,MAX(0,F152-D153))</f>
        <v/>
      </c>
    </row>
    <row r="154">
      <c r="B154" s="30" t="n">
        <v>139</v>
      </c>
      <c r="C154" s="20">
        <f>IF(B154&gt;$C$6*12,0,$C$10)</f>
        <v/>
      </c>
      <c r="D154" s="20">
        <f>IF(B154&gt;$C$6*12,0,C154-E154)</f>
        <v/>
      </c>
      <c r="E154" s="20">
        <f>IF(B154&gt;$C$6*12,0,F153*$C$8/12)</f>
        <v/>
      </c>
      <c r="F154" s="20">
        <f>IF(B154&gt;$C$6*12,0,MAX(0,F153-D154))</f>
        <v/>
      </c>
    </row>
    <row r="155">
      <c r="B155" s="30" t="n">
        <v>140</v>
      </c>
      <c r="C155" s="20">
        <f>IF(B155&gt;$C$6*12,0,$C$10)</f>
        <v/>
      </c>
      <c r="D155" s="20">
        <f>IF(B155&gt;$C$6*12,0,C155-E155)</f>
        <v/>
      </c>
      <c r="E155" s="20">
        <f>IF(B155&gt;$C$6*12,0,F154*$C$8/12)</f>
        <v/>
      </c>
      <c r="F155" s="20">
        <f>IF(B155&gt;$C$6*12,0,MAX(0,F154-D155))</f>
        <v/>
      </c>
    </row>
    <row r="156">
      <c r="B156" s="30" t="n">
        <v>141</v>
      </c>
      <c r="C156" s="20">
        <f>IF(B156&gt;$C$6*12,0,$C$10)</f>
        <v/>
      </c>
      <c r="D156" s="20">
        <f>IF(B156&gt;$C$6*12,0,C156-E156)</f>
        <v/>
      </c>
      <c r="E156" s="20">
        <f>IF(B156&gt;$C$6*12,0,F155*$C$8/12)</f>
        <v/>
      </c>
      <c r="F156" s="20">
        <f>IF(B156&gt;$C$6*12,0,MAX(0,F155-D156))</f>
        <v/>
      </c>
    </row>
    <row r="157">
      <c r="B157" s="30" t="n">
        <v>142</v>
      </c>
      <c r="C157" s="20">
        <f>IF(B157&gt;$C$6*12,0,$C$10)</f>
        <v/>
      </c>
      <c r="D157" s="20">
        <f>IF(B157&gt;$C$6*12,0,C157-E157)</f>
        <v/>
      </c>
      <c r="E157" s="20">
        <f>IF(B157&gt;$C$6*12,0,F156*$C$8/12)</f>
        <v/>
      </c>
      <c r="F157" s="20">
        <f>IF(B157&gt;$C$6*12,0,MAX(0,F156-D157))</f>
        <v/>
      </c>
    </row>
    <row r="158">
      <c r="B158" s="30" t="n">
        <v>143</v>
      </c>
      <c r="C158" s="20">
        <f>IF(B158&gt;$C$6*12,0,$C$10)</f>
        <v/>
      </c>
      <c r="D158" s="20">
        <f>IF(B158&gt;$C$6*12,0,C158-E158)</f>
        <v/>
      </c>
      <c r="E158" s="20">
        <f>IF(B158&gt;$C$6*12,0,F157*$C$8/12)</f>
        <v/>
      </c>
      <c r="F158" s="20">
        <f>IF(B158&gt;$C$6*12,0,MAX(0,F157-D158))</f>
        <v/>
      </c>
    </row>
    <row r="159">
      <c r="B159" s="30" t="n">
        <v>144</v>
      </c>
      <c r="C159" s="20">
        <f>IF(B159&gt;$C$6*12,0,$C$10)</f>
        <v/>
      </c>
      <c r="D159" s="20">
        <f>IF(B159&gt;$C$6*12,0,C159-E159)</f>
        <v/>
      </c>
      <c r="E159" s="20">
        <f>IF(B159&gt;$C$6*12,0,F158*$C$8/12)</f>
        <v/>
      </c>
      <c r="F159" s="20">
        <f>IF(B159&gt;$C$6*12,0,MAX(0,F158-D159))</f>
        <v/>
      </c>
    </row>
    <row r="160">
      <c r="B160" s="30" t="n">
        <v>145</v>
      </c>
      <c r="C160" s="20">
        <f>IF(B160&gt;$C$6*12,0,$C$10)</f>
        <v/>
      </c>
      <c r="D160" s="20">
        <f>IF(B160&gt;$C$6*12,0,C160-E160)</f>
        <v/>
      </c>
      <c r="E160" s="20">
        <f>IF(B160&gt;$C$6*12,0,F159*$C$8/12)</f>
        <v/>
      </c>
      <c r="F160" s="20">
        <f>IF(B160&gt;$C$6*12,0,MAX(0,F159-D160))</f>
        <v/>
      </c>
    </row>
    <row r="161">
      <c r="B161" s="30" t="n">
        <v>146</v>
      </c>
      <c r="C161" s="20">
        <f>IF(B161&gt;$C$6*12,0,$C$10)</f>
        <v/>
      </c>
      <c r="D161" s="20">
        <f>IF(B161&gt;$C$6*12,0,C161-E161)</f>
        <v/>
      </c>
      <c r="E161" s="20">
        <f>IF(B161&gt;$C$6*12,0,F160*$C$8/12)</f>
        <v/>
      </c>
      <c r="F161" s="20">
        <f>IF(B161&gt;$C$6*12,0,MAX(0,F160-D161))</f>
        <v/>
      </c>
    </row>
    <row r="162">
      <c r="B162" s="30" t="n">
        <v>147</v>
      </c>
      <c r="C162" s="20">
        <f>IF(B162&gt;$C$6*12,0,$C$10)</f>
        <v/>
      </c>
      <c r="D162" s="20">
        <f>IF(B162&gt;$C$6*12,0,C162-E162)</f>
        <v/>
      </c>
      <c r="E162" s="20">
        <f>IF(B162&gt;$C$6*12,0,F161*$C$8/12)</f>
        <v/>
      </c>
      <c r="F162" s="20">
        <f>IF(B162&gt;$C$6*12,0,MAX(0,F161-D162))</f>
        <v/>
      </c>
    </row>
    <row r="163">
      <c r="B163" s="30" t="n">
        <v>148</v>
      </c>
      <c r="C163" s="20">
        <f>IF(B163&gt;$C$6*12,0,$C$10)</f>
        <v/>
      </c>
      <c r="D163" s="20">
        <f>IF(B163&gt;$C$6*12,0,C163-E163)</f>
        <v/>
      </c>
      <c r="E163" s="20">
        <f>IF(B163&gt;$C$6*12,0,F162*$C$8/12)</f>
        <v/>
      </c>
      <c r="F163" s="20">
        <f>IF(B163&gt;$C$6*12,0,MAX(0,F162-D163))</f>
        <v/>
      </c>
    </row>
    <row r="164">
      <c r="B164" s="30" t="n">
        <v>149</v>
      </c>
      <c r="C164" s="20">
        <f>IF(B164&gt;$C$6*12,0,$C$10)</f>
        <v/>
      </c>
      <c r="D164" s="20">
        <f>IF(B164&gt;$C$6*12,0,C164-E164)</f>
        <v/>
      </c>
      <c r="E164" s="20">
        <f>IF(B164&gt;$C$6*12,0,F163*$C$8/12)</f>
        <v/>
      </c>
      <c r="F164" s="20">
        <f>IF(B164&gt;$C$6*12,0,MAX(0,F163-D164))</f>
        <v/>
      </c>
    </row>
    <row r="165">
      <c r="B165" s="30" t="n">
        <v>150</v>
      </c>
      <c r="C165" s="20">
        <f>IF(B165&gt;$C$6*12,0,$C$10)</f>
        <v/>
      </c>
      <c r="D165" s="20">
        <f>IF(B165&gt;$C$6*12,0,C165-E165)</f>
        <v/>
      </c>
      <c r="E165" s="20">
        <f>IF(B165&gt;$C$6*12,0,F164*$C$8/12)</f>
        <v/>
      </c>
      <c r="F165" s="20">
        <f>IF(B165&gt;$C$6*12,0,MAX(0,F164-D165))</f>
        <v/>
      </c>
    </row>
    <row r="166">
      <c r="B166" s="30" t="n">
        <v>151</v>
      </c>
      <c r="C166" s="20">
        <f>IF(B166&gt;$C$6*12,0,$C$10)</f>
        <v/>
      </c>
      <c r="D166" s="20">
        <f>IF(B166&gt;$C$6*12,0,C166-E166)</f>
        <v/>
      </c>
      <c r="E166" s="20">
        <f>IF(B166&gt;$C$6*12,0,F165*$C$8/12)</f>
        <v/>
      </c>
      <c r="F166" s="20">
        <f>IF(B166&gt;$C$6*12,0,MAX(0,F165-D166))</f>
        <v/>
      </c>
    </row>
    <row r="167">
      <c r="B167" s="30" t="n">
        <v>152</v>
      </c>
      <c r="C167" s="20">
        <f>IF(B167&gt;$C$6*12,0,$C$10)</f>
        <v/>
      </c>
      <c r="D167" s="20">
        <f>IF(B167&gt;$C$6*12,0,C167-E167)</f>
        <v/>
      </c>
      <c r="E167" s="20">
        <f>IF(B167&gt;$C$6*12,0,F166*$C$8/12)</f>
        <v/>
      </c>
      <c r="F167" s="20">
        <f>IF(B167&gt;$C$6*12,0,MAX(0,F166-D167))</f>
        <v/>
      </c>
    </row>
    <row r="168">
      <c r="B168" s="30" t="n">
        <v>153</v>
      </c>
      <c r="C168" s="20">
        <f>IF(B168&gt;$C$6*12,0,$C$10)</f>
        <v/>
      </c>
      <c r="D168" s="20">
        <f>IF(B168&gt;$C$6*12,0,C168-E168)</f>
        <v/>
      </c>
      <c r="E168" s="20">
        <f>IF(B168&gt;$C$6*12,0,F167*$C$8/12)</f>
        <v/>
      </c>
      <c r="F168" s="20">
        <f>IF(B168&gt;$C$6*12,0,MAX(0,F167-D168))</f>
        <v/>
      </c>
    </row>
    <row r="169">
      <c r="B169" s="30" t="n">
        <v>154</v>
      </c>
      <c r="C169" s="20">
        <f>IF(B169&gt;$C$6*12,0,$C$10)</f>
        <v/>
      </c>
      <c r="D169" s="20">
        <f>IF(B169&gt;$C$6*12,0,C169-E169)</f>
        <v/>
      </c>
      <c r="E169" s="20">
        <f>IF(B169&gt;$C$6*12,0,F168*$C$8/12)</f>
        <v/>
      </c>
      <c r="F169" s="20">
        <f>IF(B169&gt;$C$6*12,0,MAX(0,F168-D169))</f>
        <v/>
      </c>
    </row>
    <row r="170">
      <c r="B170" s="30" t="n">
        <v>155</v>
      </c>
      <c r="C170" s="20">
        <f>IF(B170&gt;$C$6*12,0,$C$10)</f>
        <v/>
      </c>
      <c r="D170" s="20">
        <f>IF(B170&gt;$C$6*12,0,C170-E170)</f>
        <v/>
      </c>
      <c r="E170" s="20">
        <f>IF(B170&gt;$C$6*12,0,F169*$C$8/12)</f>
        <v/>
      </c>
      <c r="F170" s="20">
        <f>IF(B170&gt;$C$6*12,0,MAX(0,F169-D170))</f>
        <v/>
      </c>
    </row>
    <row r="171">
      <c r="B171" s="30" t="n">
        <v>156</v>
      </c>
      <c r="C171" s="20">
        <f>IF(B171&gt;$C$6*12,0,$C$10)</f>
        <v/>
      </c>
      <c r="D171" s="20">
        <f>IF(B171&gt;$C$6*12,0,C171-E171)</f>
        <v/>
      </c>
      <c r="E171" s="20">
        <f>IF(B171&gt;$C$6*12,0,F170*$C$8/12)</f>
        <v/>
      </c>
      <c r="F171" s="20">
        <f>IF(B171&gt;$C$6*12,0,MAX(0,F170-D171))</f>
        <v/>
      </c>
    </row>
    <row r="172">
      <c r="B172" s="30" t="n">
        <v>157</v>
      </c>
      <c r="C172" s="20">
        <f>IF(B172&gt;$C$6*12,0,$C$10)</f>
        <v/>
      </c>
      <c r="D172" s="20">
        <f>IF(B172&gt;$C$6*12,0,C172-E172)</f>
        <v/>
      </c>
      <c r="E172" s="20">
        <f>IF(B172&gt;$C$6*12,0,F171*$C$8/12)</f>
        <v/>
      </c>
      <c r="F172" s="20">
        <f>IF(B172&gt;$C$6*12,0,MAX(0,F171-D172))</f>
        <v/>
      </c>
    </row>
    <row r="173">
      <c r="B173" s="30" t="n">
        <v>158</v>
      </c>
      <c r="C173" s="20">
        <f>IF(B173&gt;$C$6*12,0,$C$10)</f>
        <v/>
      </c>
      <c r="D173" s="20">
        <f>IF(B173&gt;$C$6*12,0,C173-E173)</f>
        <v/>
      </c>
      <c r="E173" s="20">
        <f>IF(B173&gt;$C$6*12,0,F172*$C$8/12)</f>
        <v/>
      </c>
      <c r="F173" s="20">
        <f>IF(B173&gt;$C$6*12,0,MAX(0,F172-D173))</f>
        <v/>
      </c>
    </row>
    <row r="174">
      <c r="B174" s="30" t="n">
        <v>159</v>
      </c>
      <c r="C174" s="20">
        <f>IF(B174&gt;$C$6*12,0,$C$10)</f>
        <v/>
      </c>
      <c r="D174" s="20">
        <f>IF(B174&gt;$C$6*12,0,C174-E174)</f>
        <v/>
      </c>
      <c r="E174" s="20">
        <f>IF(B174&gt;$C$6*12,0,F173*$C$8/12)</f>
        <v/>
      </c>
      <c r="F174" s="20">
        <f>IF(B174&gt;$C$6*12,0,MAX(0,F173-D174))</f>
        <v/>
      </c>
    </row>
    <row r="175">
      <c r="B175" s="30" t="n">
        <v>160</v>
      </c>
      <c r="C175" s="20">
        <f>IF(B175&gt;$C$6*12,0,$C$10)</f>
        <v/>
      </c>
      <c r="D175" s="20">
        <f>IF(B175&gt;$C$6*12,0,C175-E175)</f>
        <v/>
      </c>
      <c r="E175" s="20">
        <f>IF(B175&gt;$C$6*12,0,F174*$C$8/12)</f>
        <v/>
      </c>
      <c r="F175" s="20">
        <f>IF(B175&gt;$C$6*12,0,MAX(0,F174-D175))</f>
        <v/>
      </c>
    </row>
    <row r="176">
      <c r="B176" s="30" t="n">
        <v>161</v>
      </c>
      <c r="C176" s="20">
        <f>IF(B176&gt;$C$6*12,0,$C$10)</f>
        <v/>
      </c>
      <c r="D176" s="20">
        <f>IF(B176&gt;$C$6*12,0,C176-E176)</f>
        <v/>
      </c>
      <c r="E176" s="20">
        <f>IF(B176&gt;$C$6*12,0,F175*$C$8/12)</f>
        <v/>
      </c>
      <c r="F176" s="20">
        <f>IF(B176&gt;$C$6*12,0,MAX(0,F175-D176))</f>
        <v/>
      </c>
    </row>
    <row r="177">
      <c r="B177" s="30" t="n">
        <v>162</v>
      </c>
      <c r="C177" s="20">
        <f>IF(B177&gt;$C$6*12,0,$C$10)</f>
        <v/>
      </c>
      <c r="D177" s="20">
        <f>IF(B177&gt;$C$6*12,0,C177-E177)</f>
        <v/>
      </c>
      <c r="E177" s="20">
        <f>IF(B177&gt;$C$6*12,0,F176*$C$8/12)</f>
        <v/>
      </c>
      <c r="F177" s="20">
        <f>IF(B177&gt;$C$6*12,0,MAX(0,F176-D177))</f>
        <v/>
      </c>
    </row>
    <row r="178">
      <c r="B178" s="30" t="n">
        <v>163</v>
      </c>
      <c r="C178" s="20">
        <f>IF(B178&gt;$C$6*12,0,$C$10)</f>
        <v/>
      </c>
      <c r="D178" s="20">
        <f>IF(B178&gt;$C$6*12,0,C178-E178)</f>
        <v/>
      </c>
      <c r="E178" s="20">
        <f>IF(B178&gt;$C$6*12,0,F177*$C$8/12)</f>
        <v/>
      </c>
      <c r="F178" s="20">
        <f>IF(B178&gt;$C$6*12,0,MAX(0,F177-D178))</f>
        <v/>
      </c>
    </row>
    <row r="179">
      <c r="B179" s="30" t="n">
        <v>164</v>
      </c>
      <c r="C179" s="20">
        <f>IF(B179&gt;$C$6*12,0,$C$10)</f>
        <v/>
      </c>
      <c r="D179" s="20">
        <f>IF(B179&gt;$C$6*12,0,C179-E179)</f>
        <v/>
      </c>
      <c r="E179" s="20">
        <f>IF(B179&gt;$C$6*12,0,F178*$C$8/12)</f>
        <v/>
      </c>
      <c r="F179" s="20">
        <f>IF(B179&gt;$C$6*12,0,MAX(0,F178-D179))</f>
        <v/>
      </c>
    </row>
    <row r="180">
      <c r="B180" s="30" t="n">
        <v>165</v>
      </c>
      <c r="C180" s="20">
        <f>IF(B180&gt;$C$6*12,0,$C$10)</f>
        <v/>
      </c>
      <c r="D180" s="20">
        <f>IF(B180&gt;$C$6*12,0,C180-E180)</f>
        <v/>
      </c>
      <c r="E180" s="20">
        <f>IF(B180&gt;$C$6*12,0,F179*$C$8/12)</f>
        <v/>
      </c>
      <c r="F180" s="20">
        <f>IF(B180&gt;$C$6*12,0,MAX(0,F179-D180))</f>
        <v/>
      </c>
    </row>
    <row r="181">
      <c r="B181" s="30" t="n">
        <v>166</v>
      </c>
      <c r="C181" s="20">
        <f>IF(B181&gt;$C$6*12,0,$C$10)</f>
        <v/>
      </c>
      <c r="D181" s="20">
        <f>IF(B181&gt;$C$6*12,0,C181-E181)</f>
        <v/>
      </c>
      <c r="E181" s="20">
        <f>IF(B181&gt;$C$6*12,0,F180*$C$8/12)</f>
        <v/>
      </c>
      <c r="F181" s="20">
        <f>IF(B181&gt;$C$6*12,0,MAX(0,F180-D181))</f>
        <v/>
      </c>
    </row>
    <row r="182">
      <c r="B182" s="30" t="n">
        <v>167</v>
      </c>
      <c r="C182" s="20">
        <f>IF(B182&gt;$C$6*12,0,$C$10)</f>
        <v/>
      </c>
      <c r="D182" s="20">
        <f>IF(B182&gt;$C$6*12,0,C182-E182)</f>
        <v/>
      </c>
      <c r="E182" s="20">
        <f>IF(B182&gt;$C$6*12,0,F181*$C$8/12)</f>
        <v/>
      </c>
      <c r="F182" s="20">
        <f>IF(B182&gt;$C$6*12,0,MAX(0,F181-D182))</f>
        <v/>
      </c>
    </row>
    <row r="183">
      <c r="B183" s="30" t="n">
        <v>168</v>
      </c>
      <c r="C183" s="20">
        <f>IF(B183&gt;$C$6*12,0,$C$10)</f>
        <v/>
      </c>
      <c r="D183" s="20">
        <f>IF(B183&gt;$C$6*12,0,C183-E183)</f>
        <v/>
      </c>
      <c r="E183" s="20">
        <f>IF(B183&gt;$C$6*12,0,F182*$C$8/12)</f>
        <v/>
      </c>
      <c r="F183" s="20">
        <f>IF(B183&gt;$C$6*12,0,MAX(0,F182-D183))</f>
        <v/>
      </c>
    </row>
    <row r="184">
      <c r="B184" s="30" t="n">
        <v>169</v>
      </c>
      <c r="C184" s="20">
        <f>IF(B184&gt;$C$6*12,0,$C$10)</f>
        <v/>
      </c>
      <c r="D184" s="20">
        <f>IF(B184&gt;$C$6*12,0,C184-E184)</f>
        <v/>
      </c>
      <c r="E184" s="20">
        <f>IF(B184&gt;$C$6*12,0,F183*$C$8/12)</f>
        <v/>
      </c>
      <c r="F184" s="20">
        <f>IF(B184&gt;$C$6*12,0,MAX(0,F183-D184))</f>
        <v/>
      </c>
    </row>
    <row r="185">
      <c r="B185" s="30" t="n">
        <v>170</v>
      </c>
      <c r="C185" s="20">
        <f>IF(B185&gt;$C$6*12,0,$C$10)</f>
        <v/>
      </c>
      <c r="D185" s="20">
        <f>IF(B185&gt;$C$6*12,0,C185-E185)</f>
        <v/>
      </c>
      <c r="E185" s="20">
        <f>IF(B185&gt;$C$6*12,0,F184*$C$8/12)</f>
        <v/>
      </c>
      <c r="F185" s="20">
        <f>IF(B185&gt;$C$6*12,0,MAX(0,F184-D185))</f>
        <v/>
      </c>
    </row>
    <row r="186">
      <c r="B186" s="30" t="n">
        <v>171</v>
      </c>
      <c r="C186" s="20">
        <f>IF(B186&gt;$C$6*12,0,$C$10)</f>
        <v/>
      </c>
      <c r="D186" s="20">
        <f>IF(B186&gt;$C$6*12,0,C186-E186)</f>
        <v/>
      </c>
      <c r="E186" s="20">
        <f>IF(B186&gt;$C$6*12,0,F185*$C$8/12)</f>
        <v/>
      </c>
      <c r="F186" s="20">
        <f>IF(B186&gt;$C$6*12,0,MAX(0,F185-D186))</f>
        <v/>
      </c>
    </row>
    <row r="187">
      <c r="B187" s="30" t="n">
        <v>172</v>
      </c>
      <c r="C187" s="20">
        <f>IF(B187&gt;$C$6*12,0,$C$10)</f>
        <v/>
      </c>
      <c r="D187" s="20">
        <f>IF(B187&gt;$C$6*12,0,C187-E187)</f>
        <v/>
      </c>
      <c r="E187" s="20">
        <f>IF(B187&gt;$C$6*12,0,F186*$C$8/12)</f>
        <v/>
      </c>
      <c r="F187" s="20">
        <f>IF(B187&gt;$C$6*12,0,MAX(0,F186-D187))</f>
        <v/>
      </c>
    </row>
    <row r="188">
      <c r="B188" s="30" t="n">
        <v>173</v>
      </c>
      <c r="C188" s="20">
        <f>IF(B188&gt;$C$6*12,0,$C$10)</f>
        <v/>
      </c>
      <c r="D188" s="20">
        <f>IF(B188&gt;$C$6*12,0,C188-E188)</f>
        <v/>
      </c>
      <c r="E188" s="20">
        <f>IF(B188&gt;$C$6*12,0,F187*$C$8/12)</f>
        <v/>
      </c>
      <c r="F188" s="20">
        <f>IF(B188&gt;$C$6*12,0,MAX(0,F187-D188))</f>
        <v/>
      </c>
    </row>
    <row r="189">
      <c r="B189" s="30" t="n">
        <v>174</v>
      </c>
      <c r="C189" s="20">
        <f>IF(B189&gt;$C$6*12,0,$C$10)</f>
        <v/>
      </c>
      <c r="D189" s="20">
        <f>IF(B189&gt;$C$6*12,0,C189-E189)</f>
        <v/>
      </c>
      <c r="E189" s="20">
        <f>IF(B189&gt;$C$6*12,0,F188*$C$8/12)</f>
        <v/>
      </c>
      <c r="F189" s="20">
        <f>IF(B189&gt;$C$6*12,0,MAX(0,F188-D189))</f>
        <v/>
      </c>
    </row>
    <row r="190">
      <c r="B190" s="30" t="n">
        <v>175</v>
      </c>
      <c r="C190" s="20">
        <f>IF(B190&gt;$C$6*12,0,$C$10)</f>
        <v/>
      </c>
      <c r="D190" s="20">
        <f>IF(B190&gt;$C$6*12,0,C190-E190)</f>
        <v/>
      </c>
      <c r="E190" s="20">
        <f>IF(B190&gt;$C$6*12,0,F189*$C$8/12)</f>
        <v/>
      </c>
      <c r="F190" s="20">
        <f>IF(B190&gt;$C$6*12,0,MAX(0,F189-D190))</f>
        <v/>
      </c>
    </row>
    <row r="191">
      <c r="B191" s="30" t="n">
        <v>176</v>
      </c>
      <c r="C191" s="20">
        <f>IF(B191&gt;$C$6*12,0,$C$10)</f>
        <v/>
      </c>
      <c r="D191" s="20">
        <f>IF(B191&gt;$C$6*12,0,C191-E191)</f>
        <v/>
      </c>
      <c r="E191" s="20">
        <f>IF(B191&gt;$C$6*12,0,F190*$C$8/12)</f>
        <v/>
      </c>
      <c r="F191" s="20">
        <f>IF(B191&gt;$C$6*12,0,MAX(0,F190-D191))</f>
        <v/>
      </c>
    </row>
    <row r="192">
      <c r="B192" s="30" t="n">
        <v>177</v>
      </c>
      <c r="C192" s="20">
        <f>IF(B192&gt;$C$6*12,0,$C$10)</f>
        <v/>
      </c>
      <c r="D192" s="20">
        <f>IF(B192&gt;$C$6*12,0,C192-E192)</f>
        <v/>
      </c>
      <c r="E192" s="20">
        <f>IF(B192&gt;$C$6*12,0,F191*$C$8/12)</f>
        <v/>
      </c>
      <c r="F192" s="20">
        <f>IF(B192&gt;$C$6*12,0,MAX(0,F191-D192))</f>
        <v/>
      </c>
    </row>
    <row r="193">
      <c r="B193" s="30" t="n">
        <v>178</v>
      </c>
      <c r="C193" s="20">
        <f>IF(B193&gt;$C$6*12,0,$C$10)</f>
        <v/>
      </c>
      <c r="D193" s="20">
        <f>IF(B193&gt;$C$6*12,0,C193-E193)</f>
        <v/>
      </c>
      <c r="E193" s="20">
        <f>IF(B193&gt;$C$6*12,0,F192*$C$8/12)</f>
        <v/>
      </c>
      <c r="F193" s="20">
        <f>IF(B193&gt;$C$6*12,0,MAX(0,F192-D193))</f>
        <v/>
      </c>
    </row>
    <row r="194">
      <c r="B194" s="30" t="n">
        <v>179</v>
      </c>
      <c r="C194" s="20">
        <f>IF(B194&gt;$C$6*12,0,$C$10)</f>
        <v/>
      </c>
      <c r="D194" s="20">
        <f>IF(B194&gt;$C$6*12,0,C194-E194)</f>
        <v/>
      </c>
      <c r="E194" s="20">
        <f>IF(B194&gt;$C$6*12,0,F193*$C$8/12)</f>
        <v/>
      </c>
      <c r="F194" s="20">
        <f>IF(B194&gt;$C$6*12,0,MAX(0,F193-D194))</f>
        <v/>
      </c>
    </row>
    <row r="195">
      <c r="B195" s="30" t="n">
        <v>180</v>
      </c>
      <c r="C195" s="20">
        <f>IF(B195&gt;$C$6*12,0,$C$10)</f>
        <v/>
      </c>
      <c r="D195" s="20">
        <f>IF(B195&gt;$C$6*12,0,C195-E195)</f>
        <v/>
      </c>
      <c r="E195" s="20">
        <f>IF(B195&gt;$C$6*12,0,F194*$C$8/12)</f>
        <v/>
      </c>
      <c r="F195" s="20">
        <f>IF(B195&gt;$C$6*12,0,MAX(0,F194-D195))</f>
        <v/>
      </c>
    </row>
    <row r="196">
      <c r="B196" s="30" t="n">
        <v>181</v>
      </c>
      <c r="C196" s="20">
        <f>IF(B196&gt;$C$6*12,0,$C$10)</f>
        <v/>
      </c>
      <c r="D196" s="20">
        <f>IF(B196&gt;$C$6*12,0,C196-E196)</f>
        <v/>
      </c>
      <c r="E196" s="20">
        <f>IF(B196&gt;$C$6*12,0,F195*$C$8/12)</f>
        <v/>
      </c>
      <c r="F196" s="20">
        <f>IF(B196&gt;$C$6*12,0,MAX(0,F195-D196))</f>
        <v/>
      </c>
    </row>
    <row r="197">
      <c r="B197" s="30" t="n">
        <v>182</v>
      </c>
      <c r="C197" s="20">
        <f>IF(B197&gt;$C$6*12,0,$C$10)</f>
        <v/>
      </c>
      <c r="D197" s="20">
        <f>IF(B197&gt;$C$6*12,0,C197-E197)</f>
        <v/>
      </c>
      <c r="E197" s="20">
        <f>IF(B197&gt;$C$6*12,0,F196*$C$8/12)</f>
        <v/>
      </c>
      <c r="F197" s="20">
        <f>IF(B197&gt;$C$6*12,0,MAX(0,F196-D197))</f>
        <v/>
      </c>
    </row>
    <row r="198">
      <c r="B198" s="30" t="n">
        <v>183</v>
      </c>
      <c r="C198" s="20">
        <f>IF(B198&gt;$C$6*12,0,$C$10)</f>
        <v/>
      </c>
      <c r="D198" s="20">
        <f>IF(B198&gt;$C$6*12,0,C198-E198)</f>
        <v/>
      </c>
      <c r="E198" s="20">
        <f>IF(B198&gt;$C$6*12,0,F197*$C$8/12)</f>
        <v/>
      </c>
      <c r="F198" s="20">
        <f>IF(B198&gt;$C$6*12,0,MAX(0,F197-D198))</f>
        <v/>
      </c>
    </row>
    <row r="199">
      <c r="B199" s="30" t="n">
        <v>184</v>
      </c>
      <c r="C199" s="20">
        <f>IF(B199&gt;$C$6*12,0,$C$10)</f>
        <v/>
      </c>
      <c r="D199" s="20">
        <f>IF(B199&gt;$C$6*12,0,C199-E199)</f>
        <v/>
      </c>
      <c r="E199" s="20">
        <f>IF(B199&gt;$C$6*12,0,F198*$C$8/12)</f>
        <v/>
      </c>
      <c r="F199" s="20">
        <f>IF(B199&gt;$C$6*12,0,MAX(0,F198-D199))</f>
        <v/>
      </c>
    </row>
    <row r="200">
      <c r="B200" s="30" t="n">
        <v>185</v>
      </c>
      <c r="C200" s="20">
        <f>IF(B200&gt;$C$6*12,0,$C$10)</f>
        <v/>
      </c>
      <c r="D200" s="20">
        <f>IF(B200&gt;$C$6*12,0,C200-E200)</f>
        <v/>
      </c>
      <c r="E200" s="20">
        <f>IF(B200&gt;$C$6*12,0,F199*$C$8/12)</f>
        <v/>
      </c>
      <c r="F200" s="20">
        <f>IF(B200&gt;$C$6*12,0,MAX(0,F199-D200))</f>
        <v/>
      </c>
    </row>
    <row r="201">
      <c r="B201" s="30" t="n">
        <v>186</v>
      </c>
      <c r="C201" s="20">
        <f>IF(B201&gt;$C$6*12,0,$C$10)</f>
        <v/>
      </c>
      <c r="D201" s="20">
        <f>IF(B201&gt;$C$6*12,0,C201-E201)</f>
        <v/>
      </c>
      <c r="E201" s="20">
        <f>IF(B201&gt;$C$6*12,0,F200*$C$8/12)</f>
        <v/>
      </c>
      <c r="F201" s="20">
        <f>IF(B201&gt;$C$6*12,0,MAX(0,F200-D201))</f>
        <v/>
      </c>
    </row>
    <row r="202">
      <c r="B202" s="30" t="n">
        <v>187</v>
      </c>
      <c r="C202" s="20">
        <f>IF(B202&gt;$C$6*12,0,$C$10)</f>
        <v/>
      </c>
      <c r="D202" s="20">
        <f>IF(B202&gt;$C$6*12,0,C202-E202)</f>
        <v/>
      </c>
      <c r="E202" s="20">
        <f>IF(B202&gt;$C$6*12,0,F201*$C$8/12)</f>
        <v/>
      </c>
      <c r="F202" s="20">
        <f>IF(B202&gt;$C$6*12,0,MAX(0,F201-D202))</f>
        <v/>
      </c>
    </row>
    <row r="203">
      <c r="B203" s="30" t="n">
        <v>188</v>
      </c>
      <c r="C203" s="20">
        <f>IF(B203&gt;$C$6*12,0,$C$10)</f>
        <v/>
      </c>
      <c r="D203" s="20">
        <f>IF(B203&gt;$C$6*12,0,C203-E203)</f>
        <v/>
      </c>
      <c r="E203" s="20">
        <f>IF(B203&gt;$C$6*12,0,F202*$C$8/12)</f>
        <v/>
      </c>
      <c r="F203" s="20">
        <f>IF(B203&gt;$C$6*12,0,MAX(0,F202-D203))</f>
        <v/>
      </c>
    </row>
    <row r="204">
      <c r="B204" s="30" t="n">
        <v>189</v>
      </c>
      <c r="C204" s="20">
        <f>IF(B204&gt;$C$6*12,0,$C$10)</f>
        <v/>
      </c>
      <c r="D204" s="20">
        <f>IF(B204&gt;$C$6*12,0,C204-E204)</f>
        <v/>
      </c>
      <c r="E204" s="20">
        <f>IF(B204&gt;$C$6*12,0,F203*$C$8/12)</f>
        <v/>
      </c>
      <c r="F204" s="20">
        <f>IF(B204&gt;$C$6*12,0,MAX(0,F203-D204))</f>
        <v/>
      </c>
    </row>
    <row r="205">
      <c r="B205" s="30" t="n">
        <v>190</v>
      </c>
      <c r="C205" s="20">
        <f>IF(B205&gt;$C$6*12,0,$C$10)</f>
        <v/>
      </c>
      <c r="D205" s="20">
        <f>IF(B205&gt;$C$6*12,0,C205-E205)</f>
        <v/>
      </c>
      <c r="E205" s="20">
        <f>IF(B205&gt;$C$6*12,0,F204*$C$8/12)</f>
        <v/>
      </c>
      <c r="F205" s="20">
        <f>IF(B205&gt;$C$6*12,0,MAX(0,F204-D205))</f>
        <v/>
      </c>
    </row>
    <row r="206">
      <c r="B206" s="30" t="n">
        <v>191</v>
      </c>
      <c r="C206" s="20">
        <f>IF(B206&gt;$C$6*12,0,$C$10)</f>
        <v/>
      </c>
      <c r="D206" s="20">
        <f>IF(B206&gt;$C$6*12,0,C206-E206)</f>
        <v/>
      </c>
      <c r="E206" s="20">
        <f>IF(B206&gt;$C$6*12,0,F205*$C$8/12)</f>
        <v/>
      </c>
      <c r="F206" s="20">
        <f>IF(B206&gt;$C$6*12,0,MAX(0,F205-D206))</f>
        <v/>
      </c>
    </row>
    <row r="207">
      <c r="B207" s="30" t="n">
        <v>192</v>
      </c>
      <c r="C207" s="20">
        <f>IF(B207&gt;$C$6*12,0,$C$10)</f>
        <v/>
      </c>
      <c r="D207" s="20">
        <f>IF(B207&gt;$C$6*12,0,C207-E207)</f>
        <v/>
      </c>
      <c r="E207" s="20">
        <f>IF(B207&gt;$C$6*12,0,F206*$C$8/12)</f>
        <v/>
      </c>
      <c r="F207" s="20">
        <f>IF(B207&gt;$C$6*12,0,MAX(0,F206-D207))</f>
        <v/>
      </c>
    </row>
    <row r="208">
      <c r="B208" s="30" t="n">
        <v>193</v>
      </c>
      <c r="C208" s="20">
        <f>IF(B208&gt;$C$6*12,0,$C$10)</f>
        <v/>
      </c>
      <c r="D208" s="20">
        <f>IF(B208&gt;$C$6*12,0,C208-E208)</f>
        <v/>
      </c>
      <c r="E208" s="20">
        <f>IF(B208&gt;$C$6*12,0,F207*$C$8/12)</f>
        <v/>
      </c>
      <c r="F208" s="20">
        <f>IF(B208&gt;$C$6*12,0,MAX(0,F207-D208))</f>
        <v/>
      </c>
    </row>
    <row r="209">
      <c r="B209" s="30" t="n">
        <v>194</v>
      </c>
      <c r="C209" s="20">
        <f>IF(B209&gt;$C$6*12,0,$C$10)</f>
        <v/>
      </c>
      <c r="D209" s="20">
        <f>IF(B209&gt;$C$6*12,0,C209-E209)</f>
        <v/>
      </c>
      <c r="E209" s="20">
        <f>IF(B209&gt;$C$6*12,0,F208*$C$8/12)</f>
        <v/>
      </c>
      <c r="F209" s="20">
        <f>IF(B209&gt;$C$6*12,0,MAX(0,F208-D209))</f>
        <v/>
      </c>
    </row>
    <row r="210">
      <c r="B210" s="30" t="n">
        <v>195</v>
      </c>
      <c r="C210" s="20">
        <f>IF(B210&gt;$C$6*12,0,$C$10)</f>
        <v/>
      </c>
      <c r="D210" s="20">
        <f>IF(B210&gt;$C$6*12,0,C210-E210)</f>
        <v/>
      </c>
      <c r="E210" s="20">
        <f>IF(B210&gt;$C$6*12,0,F209*$C$8/12)</f>
        <v/>
      </c>
      <c r="F210" s="20">
        <f>IF(B210&gt;$C$6*12,0,MAX(0,F209-D210))</f>
        <v/>
      </c>
    </row>
    <row r="211">
      <c r="B211" s="30" t="n">
        <v>196</v>
      </c>
      <c r="C211" s="20">
        <f>IF(B211&gt;$C$6*12,0,$C$10)</f>
        <v/>
      </c>
      <c r="D211" s="20">
        <f>IF(B211&gt;$C$6*12,0,C211-E211)</f>
        <v/>
      </c>
      <c r="E211" s="20">
        <f>IF(B211&gt;$C$6*12,0,F210*$C$8/12)</f>
        <v/>
      </c>
      <c r="F211" s="20">
        <f>IF(B211&gt;$C$6*12,0,MAX(0,F210-D211))</f>
        <v/>
      </c>
    </row>
    <row r="212">
      <c r="B212" s="30" t="n">
        <v>197</v>
      </c>
      <c r="C212" s="20">
        <f>IF(B212&gt;$C$6*12,0,$C$10)</f>
        <v/>
      </c>
      <c r="D212" s="20">
        <f>IF(B212&gt;$C$6*12,0,C212-E212)</f>
        <v/>
      </c>
      <c r="E212" s="20">
        <f>IF(B212&gt;$C$6*12,0,F211*$C$8/12)</f>
        <v/>
      </c>
      <c r="F212" s="20">
        <f>IF(B212&gt;$C$6*12,0,MAX(0,F211-D212))</f>
        <v/>
      </c>
    </row>
    <row r="213">
      <c r="B213" s="30" t="n">
        <v>198</v>
      </c>
      <c r="C213" s="20">
        <f>IF(B213&gt;$C$6*12,0,$C$10)</f>
        <v/>
      </c>
      <c r="D213" s="20">
        <f>IF(B213&gt;$C$6*12,0,C213-E213)</f>
        <v/>
      </c>
      <c r="E213" s="20">
        <f>IF(B213&gt;$C$6*12,0,F212*$C$8/12)</f>
        <v/>
      </c>
      <c r="F213" s="20">
        <f>IF(B213&gt;$C$6*12,0,MAX(0,F212-D213))</f>
        <v/>
      </c>
    </row>
    <row r="214">
      <c r="B214" s="30" t="n">
        <v>199</v>
      </c>
      <c r="C214" s="20">
        <f>IF(B214&gt;$C$6*12,0,$C$10)</f>
        <v/>
      </c>
      <c r="D214" s="20">
        <f>IF(B214&gt;$C$6*12,0,C214-E214)</f>
        <v/>
      </c>
      <c r="E214" s="20">
        <f>IF(B214&gt;$C$6*12,0,F213*$C$8/12)</f>
        <v/>
      </c>
      <c r="F214" s="20">
        <f>IF(B214&gt;$C$6*12,0,MAX(0,F213-D214))</f>
        <v/>
      </c>
    </row>
    <row r="215">
      <c r="B215" s="30" t="n">
        <v>200</v>
      </c>
      <c r="C215" s="20">
        <f>IF(B215&gt;$C$6*12,0,$C$10)</f>
        <v/>
      </c>
      <c r="D215" s="20">
        <f>IF(B215&gt;$C$6*12,0,C215-E215)</f>
        <v/>
      </c>
      <c r="E215" s="20">
        <f>IF(B215&gt;$C$6*12,0,F214*$C$8/12)</f>
        <v/>
      </c>
      <c r="F215" s="20">
        <f>IF(B215&gt;$C$6*12,0,MAX(0,F214-D215))</f>
        <v/>
      </c>
    </row>
    <row r="216">
      <c r="B216" s="30" t="n">
        <v>201</v>
      </c>
      <c r="C216" s="20">
        <f>IF(B216&gt;$C$6*12,0,$C$10)</f>
        <v/>
      </c>
      <c r="D216" s="20">
        <f>IF(B216&gt;$C$6*12,0,C216-E216)</f>
        <v/>
      </c>
      <c r="E216" s="20">
        <f>IF(B216&gt;$C$6*12,0,F215*$C$8/12)</f>
        <v/>
      </c>
      <c r="F216" s="20">
        <f>IF(B216&gt;$C$6*12,0,MAX(0,F215-D216))</f>
        <v/>
      </c>
    </row>
    <row r="217">
      <c r="B217" s="30" t="n">
        <v>202</v>
      </c>
      <c r="C217" s="20">
        <f>IF(B217&gt;$C$6*12,0,$C$10)</f>
        <v/>
      </c>
      <c r="D217" s="20">
        <f>IF(B217&gt;$C$6*12,0,C217-E217)</f>
        <v/>
      </c>
      <c r="E217" s="20">
        <f>IF(B217&gt;$C$6*12,0,F216*$C$8/12)</f>
        <v/>
      </c>
      <c r="F217" s="20">
        <f>IF(B217&gt;$C$6*12,0,MAX(0,F216-D217))</f>
        <v/>
      </c>
    </row>
    <row r="218">
      <c r="B218" s="30" t="n">
        <v>203</v>
      </c>
      <c r="C218" s="20">
        <f>IF(B218&gt;$C$6*12,0,$C$10)</f>
        <v/>
      </c>
      <c r="D218" s="20">
        <f>IF(B218&gt;$C$6*12,0,C218-E218)</f>
        <v/>
      </c>
      <c r="E218" s="20">
        <f>IF(B218&gt;$C$6*12,0,F217*$C$8/12)</f>
        <v/>
      </c>
      <c r="F218" s="20">
        <f>IF(B218&gt;$C$6*12,0,MAX(0,F217-D218))</f>
        <v/>
      </c>
    </row>
    <row r="219">
      <c r="B219" s="30" t="n">
        <v>204</v>
      </c>
      <c r="C219" s="20">
        <f>IF(B219&gt;$C$6*12,0,$C$10)</f>
        <v/>
      </c>
      <c r="D219" s="20">
        <f>IF(B219&gt;$C$6*12,0,C219-E219)</f>
        <v/>
      </c>
      <c r="E219" s="20">
        <f>IF(B219&gt;$C$6*12,0,F218*$C$8/12)</f>
        <v/>
      </c>
      <c r="F219" s="20">
        <f>IF(B219&gt;$C$6*12,0,MAX(0,F218-D219))</f>
        <v/>
      </c>
    </row>
    <row r="220">
      <c r="B220" s="30" t="n">
        <v>205</v>
      </c>
      <c r="C220" s="20">
        <f>IF(B220&gt;$C$6*12,0,$C$10)</f>
        <v/>
      </c>
      <c r="D220" s="20">
        <f>IF(B220&gt;$C$6*12,0,C220-E220)</f>
        <v/>
      </c>
      <c r="E220" s="20">
        <f>IF(B220&gt;$C$6*12,0,F219*$C$8/12)</f>
        <v/>
      </c>
      <c r="F220" s="20">
        <f>IF(B220&gt;$C$6*12,0,MAX(0,F219-D220))</f>
        <v/>
      </c>
    </row>
    <row r="221">
      <c r="B221" s="30" t="n">
        <v>206</v>
      </c>
      <c r="C221" s="20">
        <f>IF(B221&gt;$C$6*12,0,$C$10)</f>
        <v/>
      </c>
      <c r="D221" s="20">
        <f>IF(B221&gt;$C$6*12,0,C221-E221)</f>
        <v/>
      </c>
      <c r="E221" s="20">
        <f>IF(B221&gt;$C$6*12,0,F220*$C$8/12)</f>
        <v/>
      </c>
      <c r="F221" s="20">
        <f>IF(B221&gt;$C$6*12,0,MAX(0,F220-D221))</f>
        <v/>
      </c>
    </row>
    <row r="222">
      <c r="B222" s="30" t="n">
        <v>207</v>
      </c>
      <c r="C222" s="20">
        <f>IF(B222&gt;$C$6*12,0,$C$10)</f>
        <v/>
      </c>
      <c r="D222" s="20">
        <f>IF(B222&gt;$C$6*12,0,C222-E222)</f>
        <v/>
      </c>
      <c r="E222" s="20">
        <f>IF(B222&gt;$C$6*12,0,F221*$C$8/12)</f>
        <v/>
      </c>
      <c r="F222" s="20">
        <f>IF(B222&gt;$C$6*12,0,MAX(0,F221-D222))</f>
        <v/>
      </c>
    </row>
    <row r="223">
      <c r="B223" s="30" t="n">
        <v>208</v>
      </c>
      <c r="C223" s="20">
        <f>IF(B223&gt;$C$6*12,0,$C$10)</f>
        <v/>
      </c>
      <c r="D223" s="20">
        <f>IF(B223&gt;$C$6*12,0,C223-E223)</f>
        <v/>
      </c>
      <c r="E223" s="20">
        <f>IF(B223&gt;$C$6*12,0,F222*$C$8/12)</f>
        <v/>
      </c>
      <c r="F223" s="20">
        <f>IF(B223&gt;$C$6*12,0,MAX(0,F222-D223))</f>
        <v/>
      </c>
    </row>
    <row r="224">
      <c r="B224" s="30" t="n">
        <v>209</v>
      </c>
      <c r="C224" s="20">
        <f>IF(B224&gt;$C$6*12,0,$C$10)</f>
        <v/>
      </c>
      <c r="D224" s="20">
        <f>IF(B224&gt;$C$6*12,0,C224-E224)</f>
        <v/>
      </c>
      <c r="E224" s="20">
        <f>IF(B224&gt;$C$6*12,0,F223*$C$8/12)</f>
        <v/>
      </c>
      <c r="F224" s="20">
        <f>IF(B224&gt;$C$6*12,0,MAX(0,F223-D224))</f>
        <v/>
      </c>
    </row>
    <row r="225">
      <c r="B225" s="30" t="n">
        <v>210</v>
      </c>
      <c r="C225" s="20">
        <f>IF(B225&gt;$C$6*12,0,$C$10)</f>
        <v/>
      </c>
      <c r="D225" s="20">
        <f>IF(B225&gt;$C$6*12,0,C225-E225)</f>
        <v/>
      </c>
      <c r="E225" s="20">
        <f>IF(B225&gt;$C$6*12,0,F224*$C$8/12)</f>
        <v/>
      </c>
      <c r="F225" s="20">
        <f>IF(B225&gt;$C$6*12,0,MAX(0,F224-D225))</f>
        <v/>
      </c>
    </row>
    <row r="226">
      <c r="B226" s="30" t="n">
        <v>211</v>
      </c>
      <c r="C226" s="20">
        <f>IF(B226&gt;$C$6*12,0,$C$10)</f>
        <v/>
      </c>
      <c r="D226" s="20">
        <f>IF(B226&gt;$C$6*12,0,C226-E226)</f>
        <v/>
      </c>
      <c r="E226" s="20">
        <f>IF(B226&gt;$C$6*12,0,F225*$C$8/12)</f>
        <v/>
      </c>
      <c r="F226" s="20">
        <f>IF(B226&gt;$C$6*12,0,MAX(0,F225-D226))</f>
        <v/>
      </c>
    </row>
    <row r="227">
      <c r="B227" s="30" t="n">
        <v>212</v>
      </c>
      <c r="C227" s="20">
        <f>IF(B227&gt;$C$6*12,0,$C$10)</f>
        <v/>
      </c>
      <c r="D227" s="20">
        <f>IF(B227&gt;$C$6*12,0,C227-E227)</f>
        <v/>
      </c>
      <c r="E227" s="20">
        <f>IF(B227&gt;$C$6*12,0,F226*$C$8/12)</f>
        <v/>
      </c>
      <c r="F227" s="20">
        <f>IF(B227&gt;$C$6*12,0,MAX(0,F226-D227))</f>
        <v/>
      </c>
    </row>
    <row r="228">
      <c r="B228" s="30" t="n">
        <v>213</v>
      </c>
      <c r="C228" s="20">
        <f>IF(B228&gt;$C$6*12,0,$C$10)</f>
        <v/>
      </c>
      <c r="D228" s="20">
        <f>IF(B228&gt;$C$6*12,0,C228-E228)</f>
        <v/>
      </c>
      <c r="E228" s="20">
        <f>IF(B228&gt;$C$6*12,0,F227*$C$8/12)</f>
        <v/>
      </c>
      <c r="F228" s="20">
        <f>IF(B228&gt;$C$6*12,0,MAX(0,F227-D228))</f>
        <v/>
      </c>
    </row>
    <row r="229">
      <c r="B229" s="30" t="n">
        <v>214</v>
      </c>
      <c r="C229" s="20">
        <f>IF(B229&gt;$C$6*12,0,$C$10)</f>
        <v/>
      </c>
      <c r="D229" s="20">
        <f>IF(B229&gt;$C$6*12,0,C229-E229)</f>
        <v/>
      </c>
      <c r="E229" s="20">
        <f>IF(B229&gt;$C$6*12,0,F228*$C$8/12)</f>
        <v/>
      </c>
      <c r="F229" s="20">
        <f>IF(B229&gt;$C$6*12,0,MAX(0,F228-D229))</f>
        <v/>
      </c>
    </row>
    <row r="230">
      <c r="B230" s="30" t="n">
        <v>215</v>
      </c>
      <c r="C230" s="20">
        <f>IF(B230&gt;$C$6*12,0,$C$10)</f>
        <v/>
      </c>
      <c r="D230" s="20">
        <f>IF(B230&gt;$C$6*12,0,C230-E230)</f>
        <v/>
      </c>
      <c r="E230" s="20">
        <f>IF(B230&gt;$C$6*12,0,F229*$C$8/12)</f>
        <v/>
      </c>
      <c r="F230" s="20">
        <f>IF(B230&gt;$C$6*12,0,MAX(0,F229-D230))</f>
        <v/>
      </c>
    </row>
    <row r="231">
      <c r="B231" s="30" t="n">
        <v>216</v>
      </c>
      <c r="C231" s="20">
        <f>IF(B231&gt;$C$6*12,0,$C$10)</f>
        <v/>
      </c>
      <c r="D231" s="20">
        <f>IF(B231&gt;$C$6*12,0,C231-E231)</f>
        <v/>
      </c>
      <c r="E231" s="20">
        <f>IF(B231&gt;$C$6*12,0,F230*$C$8/12)</f>
        <v/>
      </c>
      <c r="F231" s="20">
        <f>IF(B231&gt;$C$6*12,0,MAX(0,F230-D231))</f>
        <v/>
      </c>
    </row>
    <row r="232">
      <c r="B232" s="30" t="n">
        <v>217</v>
      </c>
      <c r="C232" s="20">
        <f>IF(B232&gt;$C$6*12,0,$C$10)</f>
        <v/>
      </c>
      <c r="D232" s="20">
        <f>IF(B232&gt;$C$6*12,0,C232-E232)</f>
        <v/>
      </c>
      <c r="E232" s="20">
        <f>IF(B232&gt;$C$6*12,0,F231*$C$8/12)</f>
        <v/>
      </c>
      <c r="F232" s="20">
        <f>IF(B232&gt;$C$6*12,0,MAX(0,F231-D232))</f>
        <v/>
      </c>
    </row>
    <row r="233">
      <c r="B233" s="30" t="n">
        <v>218</v>
      </c>
      <c r="C233" s="20">
        <f>IF(B233&gt;$C$6*12,0,$C$10)</f>
        <v/>
      </c>
      <c r="D233" s="20">
        <f>IF(B233&gt;$C$6*12,0,C233-E233)</f>
        <v/>
      </c>
      <c r="E233" s="20">
        <f>IF(B233&gt;$C$6*12,0,F232*$C$8/12)</f>
        <v/>
      </c>
      <c r="F233" s="20">
        <f>IF(B233&gt;$C$6*12,0,MAX(0,F232-D233))</f>
        <v/>
      </c>
    </row>
    <row r="234">
      <c r="B234" s="30" t="n">
        <v>219</v>
      </c>
      <c r="C234" s="20">
        <f>IF(B234&gt;$C$6*12,0,$C$10)</f>
        <v/>
      </c>
      <c r="D234" s="20">
        <f>IF(B234&gt;$C$6*12,0,C234-E234)</f>
        <v/>
      </c>
      <c r="E234" s="20">
        <f>IF(B234&gt;$C$6*12,0,F233*$C$8/12)</f>
        <v/>
      </c>
      <c r="F234" s="20">
        <f>IF(B234&gt;$C$6*12,0,MAX(0,F233-D234))</f>
        <v/>
      </c>
    </row>
    <row r="235">
      <c r="B235" s="30" t="n">
        <v>220</v>
      </c>
      <c r="C235" s="20">
        <f>IF(B235&gt;$C$6*12,0,$C$10)</f>
        <v/>
      </c>
      <c r="D235" s="20">
        <f>IF(B235&gt;$C$6*12,0,C235-E235)</f>
        <v/>
      </c>
      <c r="E235" s="20">
        <f>IF(B235&gt;$C$6*12,0,F234*$C$8/12)</f>
        <v/>
      </c>
      <c r="F235" s="20">
        <f>IF(B235&gt;$C$6*12,0,MAX(0,F234-D235))</f>
        <v/>
      </c>
    </row>
    <row r="236">
      <c r="B236" s="30" t="n">
        <v>221</v>
      </c>
      <c r="C236" s="20">
        <f>IF(B236&gt;$C$6*12,0,$C$10)</f>
        <v/>
      </c>
      <c r="D236" s="20">
        <f>IF(B236&gt;$C$6*12,0,C236-E236)</f>
        <v/>
      </c>
      <c r="E236" s="20">
        <f>IF(B236&gt;$C$6*12,0,F235*$C$8/12)</f>
        <v/>
      </c>
      <c r="F236" s="20">
        <f>IF(B236&gt;$C$6*12,0,MAX(0,F235-D236))</f>
        <v/>
      </c>
    </row>
    <row r="237">
      <c r="B237" s="30" t="n">
        <v>222</v>
      </c>
      <c r="C237" s="20">
        <f>IF(B237&gt;$C$6*12,0,$C$10)</f>
        <v/>
      </c>
      <c r="D237" s="20">
        <f>IF(B237&gt;$C$6*12,0,C237-E237)</f>
        <v/>
      </c>
      <c r="E237" s="20">
        <f>IF(B237&gt;$C$6*12,0,F236*$C$8/12)</f>
        <v/>
      </c>
      <c r="F237" s="20">
        <f>IF(B237&gt;$C$6*12,0,MAX(0,F236-D237))</f>
        <v/>
      </c>
    </row>
    <row r="238">
      <c r="B238" s="30" t="n">
        <v>223</v>
      </c>
      <c r="C238" s="20">
        <f>IF(B238&gt;$C$6*12,0,$C$10)</f>
        <v/>
      </c>
      <c r="D238" s="20">
        <f>IF(B238&gt;$C$6*12,0,C238-E238)</f>
        <v/>
      </c>
      <c r="E238" s="20">
        <f>IF(B238&gt;$C$6*12,0,F237*$C$8/12)</f>
        <v/>
      </c>
      <c r="F238" s="20">
        <f>IF(B238&gt;$C$6*12,0,MAX(0,F237-D238))</f>
        <v/>
      </c>
    </row>
    <row r="239">
      <c r="B239" s="30" t="n">
        <v>224</v>
      </c>
      <c r="C239" s="20">
        <f>IF(B239&gt;$C$6*12,0,$C$10)</f>
        <v/>
      </c>
      <c r="D239" s="20">
        <f>IF(B239&gt;$C$6*12,0,C239-E239)</f>
        <v/>
      </c>
      <c r="E239" s="20">
        <f>IF(B239&gt;$C$6*12,0,F238*$C$8/12)</f>
        <v/>
      </c>
      <c r="F239" s="20">
        <f>IF(B239&gt;$C$6*12,0,MAX(0,F238-D239))</f>
        <v/>
      </c>
    </row>
    <row r="240">
      <c r="B240" s="30" t="n">
        <v>225</v>
      </c>
      <c r="C240" s="20">
        <f>IF(B240&gt;$C$6*12,0,$C$10)</f>
        <v/>
      </c>
      <c r="D240" s="20">
        <f>IF(B240&gt;$C$6*12,0,C240-E240)</f>
        <v/>
      </c>
      <c r="E240" s="20">
        <f>IF(B240&gt;$C$6*12,0,F239*$C$8/12)</f>
        <v/>
      </c>
      <c r="F240" s="20">
        <f>IF(B240&gt;$C$6*12,0,MAX(0,F239-D240))</f>
        <v/>
      </c>
    </row>
    <row r="241">
      <c r="B241" s="30" t="n">
        <v>226</v>
      </c>
      <c r="C241" s="20">
        <f>IF(B241&gt;$C$6*12,0,$C$10)</f>
        <v/>
      </c>
      <c r="D241" s="20">
        <f>IF(B241&gt;$C$6*12,0,C241-E241)</f>
        <v/>
      </c>
      <c r="E241" s="20">
        <f>IF(B241&gt;$C$6*12,0,F240*$C$8/12)</f>
        <v/>
      </c>
      <c r="F241" s="20">
        <f>IF(B241&gt;$C$6*12,0,MAX(0,F240-D241))</f>
        <v/>
      </c>
    </row>
    <row r="242">
      <c r="B242" s="30" t="n">
        <v>227</v>
      </c>
      <c r="C242" s="20">
        <f>IF(B242&gt;$C$6*12,0,$C$10)</f>
        <v/>
      </c>
      <c r="D242" s="20">
        <f>IF(B242&gt;$C$6*12,0,C242-E242)</f>
        <v/>
      </c>
      <c r="E242" s="20">
        <f>IF(B242&gt;$C$6*12,0,F241*$C$8/12)</f>
        <v/>
      </c>
      <c r="F242" s="20">
        <f>IF(B242&gt;$C$6*12,0,MAX(0,F241-D242))</f>
        <v/>
      </c>
    </row>
    <row r="243">
      <c r="B243" s="30" t="n">
        <v>228</v>
      </c>
      <c r="C243" s="20">
        <f>IF(B243&gt;$C$6*12,0,$C$10)</f>
        <v/>
      </c>
      <c r="D243" s="20">
        <f>IF(B243&gt;$C$6*12,0,C243-E243)</f>
        <v/>
      </c>
      <c r="E243" s="20">
        <f>IF(B243&gt;$C$6*12,0,F242*$C$8/12)</f>
        <v/>
      </c>
      <c r="F243" s="20">
        <f>IF(B243&gt;$C$6*12,0,MAX(0,F242-D243))</f>
        <v/>
      </c>
    </row>
    <row r="244">
      <c r="B244" s="30" t="n">
        <v>229</v>
      </c>
      <c r="C244" s="20">
        <f>IF(B244&gt;$C$6*12,0,$C$10)</f>
        <v/>
      </c>
      <c r="D244" s="20">
        <f>IF(B244&gt;$C$6*12,0,C244-E244)</f>
        <v/>
      </c>
      <c r="E244" s="20">
        <f>IF(B244&gt;$C$6*12,0,F243*$C$8/12)</f>
        <v/>
      </c>
      <c r="F244" s="20">
        <f>IF(B244&gt;$C$6*12,0,MAX(0,F243-D244))</f>
        <v/>
      </c>
    </row>
    <row r="245">
      <c r="B245" s="30" t="n">
        <v>230</v>
      </c>
      <c r="C245" s="20">
        <f>IF(B245&gt;$C$6*12,0,$C$10)</f>
        <v/>
      </c>
      <c r="D245" s="20">
        <f>IF(B245&gt;$C$6*12,0,C245-E245)</f>
        <v/>
      </c>
      <c r="E245" s="20">
        <f>IF(B245&gt;$C$6*12,0,F244*$C$8/12)</f>
        <v/>
      </c>
      <c r="F245" s="20">
        <f>IF(B245&gt;$C$6*12,0,MAX(0,F244-D245))</f>
        <v/>
      </c>
    </row>
    <row r="246">
      <c r="B246" s="30" t="n">
        <v>231</v>
      </c>
      <c r="C246" s="20">
        <f>IF(B246&gt;$C$6*12,0,$C$10)</f>
        <v/>
      </c>
      <c r="D246" s="20">
        <f>IF(B246&gt;$C$6*12,0,C246-E246)</f>
        <v/>
      </c>
      <c r="E246" s="20">
        <f>IF(B246&gt;$C$6*12,0,F245*$C$8/12)</f>
        <v/>
      </c>
      <c r="F246" s="20">
        <f>IF(B246&gt;$C$6*12,0,MAX(0,F245-D246))</f>
        <v/>
      </c>
    </row>
    <row r="247">
      <c r="B247" s="30" t="n">
        <v>232</v>
      </c>
      <c r="C247" s="20">
        <f>IF(B247&gt;$C$6*12,0,$C$10)</f>
        <v/>
      </c>
      <c r="D247" s="20">
        <f>IF(B247&gt;$C$6*12,0,C247-E247)</f>
        <v/>
      </c>
      <c r="E247" s="20">
        <f>IF(B247&gt;$C$6*12,0,F246*$C$8/12)</f>
        <v/>
      </c>
      <c r="F247" s="20">
        <f>IF(B247&gt;$C$6*12,0,MAX(0,F246-D247))</f>
        <v/>
      </c>
    </row>
    <row r="248">
      <c r="B248" s="30" t="n">
        <v>233</v>
      </c>
      <c r="C248" s="20">
        <f>IF(B248&gt;$C$6*12,0,$C$10)</f>
        <v/>
      </c>
      <c r="D248" s="20">
        <f>IF(B248&gt;$C$6*12,0,C248-E248)</f>
        <v/>
      </c>
      <c r="E248" s="20">
        <f>IF(B248&gt;$C$6*12,0,F247*$C$8/12)</f>
        <v/>
      </c>
      <c r="F248" s="20">
        <f>IF(B248&gt;$C$6*12,0,MAX(0,F247-D248))</f>
        <v/>
      </c>
    </row>
    <row r="249">
      <c r="B249" s="30" t="n">
        <v>234</v>
      </c>
      <c r="C249" s="20">
        <f>IF(B249&gt;$C$6*12,0,$C$10)</f>
        <v/>
      </c>
      <c r="D249" s="20">
        <f>IF(B249&gt;$C$6*12,0,C249-E249)</f>
        <v/>
      </c>
      <c r="E249" s="20">
        <f>IF(B249&gt;$C$6*12,0,F248*$C$8/12)</f>
        <v/>
      </c>
      <c r="F249" s="20">
        <f>IF(B249&gt;$C$6*12,0,MAX(0,F248-D249))</f>
        <v/>
      </c>
    </row>
    <row r="250">
      <c r="B250" s="30" t="n">
        <v>235</v>
      </c>
      <c r="C250" s="20">
        <f>IF(B250&gt;$C$6*12,0,$C$10)</f>
        <v/>
      </c>
      <c r="D250" s="20">
        <f>IF(B250&gt;$C$6*12,0,C250-E250)</f>
        <v/>
      </c>
      <c r="E250" s="20">
        <f>IF(B250&gt;$C$6*12,0,F249*$C$8/12)</f>
        <v/>
      </c>
      <c r="F250" s="20">
        <f>IF(B250&gt;$C$6*12,0,MAX(0,F249-D250))</f>
        <v/>
      </c>
    </row>
    <row r="251">
      <c r="B251" s="30" t="n">
        <v>236</v>
      </c>
      <c r="C251" s="20">
        <f>IF(B251&gt;$C$6*12,0,$C$10)</f>
        <v/>
      </c>
      <c r="D251" s="20">
        <f>IF(B251&gt;$C$6*12,0,C251-E251)</f>
        <v/>
      </c>
      <c r="E251" s="20">
        <f>IF(B251&gt;$C$6*12,0,F250*$C$8/12)</f>
        <v/>
      </c>
      <c r="F251" s="20">
        <f>IF(B251&gt;$C$6*12,0,MAX(0,F250-D251))</f>
        <v/>
      </c>
    </row>
    <row r="252">
      <c r="B252" s="30" t="n">
        <v>237</v>
      </c>
      <c r="C252" s="20">
        <f>IF(B252&gt;$C$6*12,0,$C$10)</f>
        <v/>
      </c>
      <c r="D252" s="20">
        <f>IF(B252&gt;$C$6*12,0,C252-E252)</f>
        <v/>
      </c>
      <c r="E252" s="20">
        <f>IF(B252&gt;$C$6*12,0,F251*$C$8/12)</f>
        <v/>
      </c>
      <c r="F252" s="20">
        <f>IF(B252&gt;$C$6*12,0,MAX(0,F251-D252))</f>
        <v/>
      </c>
    </row>
    <row r="253">
      <c r="B253" s="30" t="n">
        <v>238</v>
      </c>
      <c r="C253" s="20">
        <f>IF(B253&gt;$C$6*12,0,$C$10)</f>
        <v/>
      </c>
      <c r="D253" s="20">
        <f>IF(B253&gt;$C$6*12,0,C253-E253)</f>
        <v/>
      </c>
      <c r="E253" s="20">
        <f>IF(B253&gt;$C$6*12,0,F252*$C$8/12)</f>
        <v/>
      </c>
      <c r="F253" s="20">
        <f>IF(B253&gt;$C$6*12,0,MAX(0,F252-D253))</f>
        <v/>
      </c>
    </row>
    <row r="254">
      <c r="B254" s="30" t="n">
        <v>239</v>
      </c>
      <c r="C254" s="20">
        <f>IF(B254&gt;$C$6*12,0,$C$10)</f>
        <v/>
      </c>
      <c r="D254" s="20">
        <f>IF(B254&gt;$C$6*12,0,C254-E254)</f>
        <v/>
      </c>
      <c r="E254" s="20">
        <f>IF(B254&gt;$C$6*12,0,F253*$C$8/12)</f>
        <v/>
      </c>
      <c r="F254" s="20">
        <f>IF(B254&gt;$C$6*12,0,MAX(0,F253-D254))</f>
        <v/>
      </c>
    </row>
    <row r="255">
      <c r="B255" s="30" t="n">
        <v>240</v>
      </c>
      <c r="C255" s="20">
        <f>IF(B255&gt;$C$6*12,0,$C$10)</f>
        <v/>
      </c>
      <c r="D255" s="20">
        <f>IF(B255&gt;$C$6*12,0,C255-E255)</f>
        <v/>
      </c>
      <c r="E255" s="20">
        <f>IF(B255&gt;$C$6*12,0,F254*$C$8/12)</f>
        <v/>
      </c>
      <c r="F255" s="20">
        <f>IF(B255&gt;$C$6*12,0,MAX(0,F254-D255))</f>
        <v/>
      </c>
    </row>
    <row r="256">
      <c r="B256" s="30" t="n">
        <v>241</v>
      </c>
      <c r="C256" s="20">
        <f>IF(B256&gt;$C$6*12,0,$C$10)</f>
        <v/>
      </c>
      <c r="D256" s="20">
        <f>IF(B256&gt;$C$6*12,0,C256-E256)</f>
        <v/>
      </c>
      <c r="E256" s="20">
        <f>IF(B256&gt;$C$6*12,0,F255*$C$8/12)</f>
        <v/>
      </c>
      <c r="F256" s="20">
        <f>IF(B256&gt;$C$6*12,0,MAX(0,F255-D256))</f>
        <v/>
      </c>
    </row>
    <row r="257">
      <c r="B257" s="30" t="n">
        <v>242</v>
      </c>
      <c r="C257" s="20">
        <f>IF(B257&gt;$C$6*12,0,$C$10)</f>
        <v/>
      </c>
      <c r="D257" s="20">
        <f>IF(B257&gt;$C$6*12,0,C257-E257)</f>
        <v/>
      </c>
      <c r="E257" s="20">
        <f>IF(B257&gt;$C$6*12,0,F256*$C$8/12)</f>
        <v/>
      </c>
      <c r="F257" s="20">
        <f>IF(B257&gt;$C$6*12,0,MAX(0,F256-D257))</f>
        <v/>
      </c>
    </row>
    <row r="258">
      <c r="B258" s="30" t="n">
        <v>243</v>
      </c>
      <c r="C258" s="20">
        <f>IF(B258&gt;$C$6*12,0,$C$10)</f>
        <v/>
      </c>
      <c r="D258" s="20">
        <f>IF(B258&gt;$C$6*12,0,C258-E258)</f>
        <v/>
      </c>
      <c r="E258" s="20">
        <f>IF(B258&gt;$C$6*12,0,F257*$C$8/12)</f>
        <v/>
      </c>
      <c r="F258" s="20">
        <f>IF(B258&gt;$C$6*12,0,MAX(0,F257-D258))</f>
        <v/>
      </c>
    </row>
    <row r="259">
      <c r="B259" s="30" t="n">
        <v>244</v>
      </c>
      <c r="C259" s="20">
        <f>IF(B259&gt;$C$6*12,0,$C$10)</f>
        <v/>
      </c>
      <c r="D259" s="20">
        <f>IF(B259&gt;$C$6*12,0,C259-E259)</f>
        <v/>
      </c>
      <c r="E259" s="20">
        <f>IF(B259&gt;$C$6*12,0,F258*$C$8/12)</f>
        <v/>
      </c>
      <c r="F259" s="20">
        <f>IF(B259&gt;$C$6*12,0,MAX(0,F258-D259))</f>
        <v/>
      </c>
    </row>
    <row r="260">
      <c r="B260" s="30" t="n">
        <v>245</v>
      </c>
      <c r="C260" s="20">
        <f>IF(B260&gt;$C$6*12,0,$C$10)</f>
        <v/>
      </c>
      <c r="D260" s="20">
        <f>IF(B260&gt;$C$6*12,0,C260-E260)</f>
        <v/>
      </c>
      <c r="E260" s="20">
        <f>IF(B260&gt;$C$6*12,0,F259*$C$8/12)</f>
        <v/>
      </c>
      <c r="F260" s="20">
        <f>IF(B260&gt;$C$6*12,0,MAX(0,F259-D260))</f>
        <v/>
      </c>
    </row>
    <row r="261">
      <c r="B261" s="30" t="n">
        <v>246</v>
      </c>
      <c r="C261" s="20">
        <f>IF(B261&gt;$C$6*12,0,$C$10)</f>
        <v/>
      </c>
      <c r="D261" s="20">
        <f>IF(B261&gt;$C$6*12,0,C261-E261)</f>
        <v/>
      </c>
      <c r="E261" s="20">
        <f>IF(B261&gt;$C$6*12,0,F260*$C$8/12)</f>
        <v/>
      </c>
      <c r="F261" s="20">
        <f>IF(B261&gt;$C$6*12,0,MAX(0,F260-D261))</f>
        <v/>
      </c>
    </row>
    <row r="262">
      <c r="B262" s="30" t="n">
        <v>247</v>
      </c>
      <c r="C262" s="20">
        <f>IF(B262&gt;$C$6*12,0,$C$10)</f>
        <v/>
      </c>
      <c r="D262" s="20">
        <f>IF(B262&gt;$C$6*12,0,C262-E262)</f>
        <v/>
      </c>
      <c r="E262" s="20">
        <f>IF(B262&gt;$C$6*12,0,F261*$C$8/12)</f>
        <v/>
      </c>
      <c r="F262" s="20">
        <f>IF(B262&gt;$C$6*12,0,MAX(0,F261-D262))</f>
        <v/>
      </c>
    </row>
    <row r="263">
      <c r="B263" s="30" t="n">
        <v>248</v>
      </c>
      <c r="C263" s="20">
        <f>IF(B263&gt;$C$6*12,0,$C$10)</f>
        <v/>
      </c>
      <c r="D263" s="20">
        <f>IF(B263&gt;$C$6*12,0,C263-E263)</f>
        <v/>
      </c>
      <c r="E263" s="20">
        <f>IF(B263&gt;$C$6*12,0,F262*$C$8/12)</f>
        <v/>
      </c>
      <c r="F263" s="20">
        <f>IF(B263&gt;$C$6*12,0,MAX(0,F262-D263))</f>
        <v/>
      </c>
    </row>
    <row r="264">
      <c r="B264" s="30" t="n">
        <v>249</v>
      </c>
      <c r="C264" s="20">
        <f>IF(B264&gt;$C$6*12,0,$C$10)</f>
        <v/>
      </c>
      <c r="D264" s="20">
        <f>IF(B264&gt;$C$6*12,0,C264-E264)</f>
        <v/>
      </c>
      <c r="E264" s="20">
        <f>IF(B264&gt;$C$6*12,0,F263*$C$8/12)</f>
        <v/>
      </c>
      <c r="F264" s="20">
        <f>IF(B264&gt;$C$6*12,0,MAX(0,F263-D264))</f>
        <v/>
      </c>
    </row>
    <row r="265">
      <c r="B265" s="30" t="n">
        <v>250</v>
      </c>
      <c r="C265" s="20">
        <f>IF(B265&gt;$C$6*12,0,$C$10)</f>
        <v/>
      </c>
      <c r="D265" s="20">
        <f>IF(B265&gt;$C$6*12,0,C265-E265)</f>
        <v/>
      </c>
      <c r="E265" s="20">
        <f>IF(B265&gt;$C$6*12,0,F264*$C$8/12)</f>
        <v/>
      </c>
      <c r="F265" s="20">
        <f>IF(B265&gt;$C$6*12,0,MAX(0,F264-D265))</f>
        <v/>
      </c>
    </row>
    <row r="266">
      <c r="B266" s="30" t="n">
        <v>251</v>
      </c>
      <c r="C266" s="20">
        <f>IF(B266&gt;$C$6*12,0,$C$10)</f>
        <v/>
      </c>
      <c r="D266" s="20">
        <f>IF(B266&gt;$C$6*12,0,C266-E266)</f>
        <v/>
      </c>
      <c r="E266" s="20">
        <f>IF(B266&gt;$C$6*12,0,F265*$C$8/12)</f>
        <v/>
      </c>
      <c r="F266" s="20">
        <f>IF(B266&gt;$C$6*12,0,MAX(0,F265-D266))</f>
        <v/>
      </c>
    </row>
    <row r="267">
      <c r="B267" s="30" t="n">
        <v>252</v>
      </c>
      <c r="C267" s="20">
        <f>IF(B267&gt;$C$6*12,0,$C$10)</f>
        <v/>
      </c>
      <c r="D267" s="20">
        <f>IF(B267&gt;$C$6*12,0,C267-E267)</f>
        <v/>
      </c>
      <c r="E267" s="20">
        <f>IF(B267&gt;$C$6*12,0,F266*$C$8/12)</f>
        <v/>
      </c>
      <c r="F267" s="20">
        <f>IF(B267&gt;$C$6*12,0,MAX(0,F266-D267))</f>
        <v/>
      </c>
    </row>
    <row r="268">
      <c r="B268" s="30" t="n">
        <v>253</v>
      </c>
      <c r="C268" s="20">
        <f>IF(B268&gt;$C$6*12,0,$C$10)</f>
        <v/>
      </c>
      <c r="D268" s="20">
        <f>IF(B268&gt;$C$6*12,0,C268-E268)</f>
        <v/>
      </c>
      <c r="E268" s="20">
        <f>IF(B268&gt;$C$6*12,0,F267*$C$8/12)</f>
        <v/>
      </c>
      <c r="F268" s="20">
        <f>IF(B268&gt;$C$6*12,0,MAX(0,F267-D268))</f>
        <v/>
      </c>
    </row>
    <row r="269">
      <c r="B269" s="30" t="n">
        <v>254</v>
      </c>
      <c r="C269" s="20">
        <f>IF(B269&gt;$C$6*12,0,$C$10)</f>
        <v/>
      </c>
      <c r="D269" s="20">
        <f>IF(B269&gt;$C$6*12,0,C269-E269)</f>
        <v/>
      </c>
      <c r="E269" s="20">
        <f>IF(B269&gt;$C$6*12,0,F268*$C$8/12)</f>
        <v/>
      </c>
      <c r="F269" s="20">
        <f>IF(B269&gt;$C$6*12,0,MAX(0,F268-D269))</f>
        <v/>
      </c>
    </row>
    <row r="270">
      <c r="B270" s="30" t="n">
        <v>255</v>
      </c>
      <c r="C270" s="20">
        <f>IF(B270&gt;$C$6*12,0,$C$10)</f>
        <v/>
      </c>
      <c r="D270" s="20">
        <f>IF(B270&gt;$C$6*12,0,C270-E270)</f>
        <v/>
      </c>
      <c r="E270" s="20">
        <f>IF(B270&gt;$C$6*12,0,F269*$C$8/12)</f>
        <v/>
      </c>
      <c r="F270" s="20">
        <f>IF(B270&gt;$C$6*12,0,MAX(0,F269-D270))</f>
        <v/>
      </c>
    </row>
    <row r="271">
      <c r="B271" s="30" t="n">
        <v>256</v>
      </c>
      <c r="C271" s="20">
        <f>IF(B271&gt;$C$6*12,0,$C$10)</f>
        <v/>
      </c>
      <c r="D271" s="20">
        <f>IF(B271&gt;$C$6*12,0,C271-E271)</f>
        <v/>
      </c>
      <c r="E271" s="20">
        <f>IF(B271&gt;$C$6*12,0,F270*$C$8/12)</f>
        <v/>
      </c>
      <c r="F271" s="20">
        <f>IF(B271&gt;$C$6*12,0,MAX(0,F270-D271))</f>
        <v/>
      </c>
    </row>
    <row r="272">
      <c r="B272" s="30" t="n">
        <v>257</v>
      </c>
      <c r="C272" s="20">
        <f>IF(B272&gt;$C$6*12,0,$C$10)</f>
        <v/>
      </c>
      <c r="D272" s="20">
        <f>IF(B272&gt;$C$6*12,0,C272-E272)</f>
        <v/>
      </c>
      <c r="E272" s="20">
        <f>IF(B272&gt;$C$6*12,0,F271*$C$8/12)</f>
        <v/>
      </c>
      <c r="F272" s="20">
        <f>IF(B272&gt;$C$6*12,0,MAX(0,F271-D272))</f>
        <v/>
      </c>
    </row>
    <row r="273">
      <c r="B273" s="30" t="n">
        <v>258</v>
      </c>
      <c r="C273" s="20">
        <f>IF(B273&gt;$C$6*12,0,$C$10)</f>
        <v/>
      </c>
      <c r="D273" s="20">
        <f>IF(B273&gt;$C$6*12,0,C273-E273)</f>
        <v/>
      </c>
      <c r="E273" s="20">
        <f>IF(B273&gt;$C$6*12,0,F272*$C$8/12)</f>
        <v/>
      </c>
      <c r="F273" s="20">
        <f>IF(B273&gt;$C$6*12,0,MAX(0,F272-D273))</f>
        <v/>
      </c>
    </row>
    <row r="274">
      <c r="B274" s="30" t="n">
        <v>259</v>
      </c>
      <c r="C274" s="20">
        <f>IF(B274&gt;$C$6*12,0,$C$10)</f>
        <v/>
      </c>
      <c r="D274" s="20">
        <f>IF(B274&gt;$C$6*12,0,C274-E274)</f>
        <v/>
      </c>
      <c r="E274" s="20">
        <f>IF(B274&gt;$C$6*12,0,F273*$C$8/12)</f>
        <v/>
      </c>
      <c r="F274" s="20">
        <f>IF(B274&gt;$C$6*12,0,MAX(0,F273-D274))</f>
        <v/>
      </c>
    </row>
    <row r="275">
      <c r="B275" s="30" t="n">
        <v>260</v>
      </c>
      <c r="C275" s="20">
        <f>IF(B275&gt;$C$6*12,0,$C$10)</f>
        <v/>
      </c>
      <c r="D275" s="20">
        <f>IF(B275&gt;$C$6*12,0,C275-E275)</f>
        <v/>
      </c>
      <c r="E275" s="20">
        <f>IF(B275&gt;$C$6*12,0,F274*$C$8/12)</f>
        <v/>
      </c>
      <c r="F275" s="20">
        <f>IF(B275&gt;$C$6*12,0,MAX(0,F274-D275))</f>
        <v/>
      </c>
    </row>
    <row r="276">
      <c r="B276" s="30" t="n">
        <v>261</v>
      </c>
      <c r="C276" s="20">
        <f>IF(B276&gt;$C$6*12,0,$C$10)</f>
        <v/>
      </c>
      <c r="D276" s="20">
        <f>IF(B276&gt;$C$6*12,0,C276-E276)</f>
        <v/>
      </c>
      <c r="E276" s="20">
        <f>IF(B276&gt;$C$6*12,0,F275*$C$8/12)</f>
        <v/>
      </c>
      <c r="F276" s="20">
        <f>IF(B276&gt;$C$6*12,0,MAX(0,F275-D276))</f>
        <v/>
      </c>
    </row>
    <row r="277">
      <c r="B277" s="30" t="n">
        <v>262</v>
      </c>
      <c r="C277" s="20">
        <f>IF(B277&gt;$C$6*12,0,$C$10)</f>
        <v/>
      </c>
      <c r="D277" s="20">
        <f>IF(B277&gt;$C$6*12,0,C277-E277)</f>
        <v/>
      </c>
      <c r="E277" s="20">
        <f>IF(B277&gt;$C$6*12,0,F276*$C$8/12)</f>
        <v/>
      </c>
      <c r="F277" s="20">
        <f>IF(B277&gt;$C$6*12,0,MAX(0,F276-D277))</f>
        <v/>
      </c>
    </row>
    <row r="278">
      <c r="B278" s="30" t="n">
        <v>263</v>
      </c>
      <c r="C278" s="20">
        <f>IF(B278&gt;$C$6*12,0,$C$10)</f>
        <v/>
      </c>
      <c r="D278" s="20">
        <f>IF(B278&gt;$C$6*12,0,C278-E278)</f>
        <v/>
      </c>
      <c r="E278" s="20">
        <f>IF(B278&gt;$C$6*12,0,F277*$C$8/12)</f>
        <v/>
      </c>
      <c r="F278" s="20">
        <f>IF(B278&gt;$C$6*12,0,MAX(0,F277-D278))</f>
        <v/>
      </c>
    </row>
    <row r="279">
      <c r="B279" s="30" t="n">
        <v>264</v>
      </c>
      <c r="C279" s="20">
        <f>IF(B279&gt;$C$6*12,0,$C$10)</f>
        <v/>
      </c>
      <c r="D279" s="20">
        <f>IF(B279&gt;$C$6*12,0,C279-E279)</f>
        <v/>
      </c>
      <c r="E279" s="20">
        <f>IF(B279&gt;$C$6*12,0,F278*$C$8/12)</f>
        <v/>
      </c>
      <c r="F279" s="20">
        <f>IF(B279&gt;$C$6*12,0,MAX(0,F278-D279))</f>
        <v/>
      </c>
    </row>
    <row r="280">
      <c r="B280" s="30" t="n">
        <v>265</v>
      </c>
      <c r="C280" s="20">
        <f>IF(B280&gt;$C$6*12,0,$C$10)</f>
        <v/>
      </c>
      <c r="D280" s="20">
        <f>IF(B280&gt;$C$6*12,0,C280-E280)</f>
        <v/>
      </c>
      <c r="E280" s="20">
        <f>IF(B280&gt;$C$6*12,0,F279*$C$8/12)</f>
        <v/>
      </c>
      <c r="F280" s="20">
        <f>IF(B280&gt;$C$6*12,0,MAX(0,F279-D280))</f>
        <v/>
      </c>
    </row>
    <row r="281">
      <c r="B281" s="30" t="n">
        <v>266</v>
      </c>
      <c r="C281" s="20">
        <f>IF(B281&gt;$C$6*12,0,$C$10)</f>
        <v/>
      </c>
      <c r="D281" s="20">
        <f>IF(B281&gt;$C$6*12,0,C281-E281)</f>
        <v/>
      </c>
      <c r="E281" s="20">
        <f>IF(B281&gt;$C$6*12,0,F280*$C$8/12)</f>
        <v/>
      </c>
      <c r="F281" s="20">
        <f>IF(B281&gt;$C$6*12,0,MAX(0,F280-D281))</f>
        <v/>
      </c>
    </row>
    <row r="282">
      <c r="B282" s="30" t="n">
        <v>267</v>
      </c>
      <c r="C282" s="20">
        <f>IF(B282&gt;$C$6*12,0,$C$10)</f>
        <v/>
      </c>
      <c r="D282" s="20">
        <f>IF(B282&gt;$C$6*12,0,C282-E282)</f>
        <v/>
      </c>
      <c r="E282" s="20">
        <f>IF(B282&gt;$C$6*12,0,F281*$C$8/12)</f>
        <v/>
      </c>
      <c r="F282" s="20">
        <f>IF(B282&gt;$C$6*12,0,MAX(0,F281-D282))</f>
        <v/>
      </c>
    </row>
    <row r="283">
      <c r="B283" s="30" t="n">
        <v>268</v>
      </c>
      <c r="C283" s="20">
        <f>IF(B283&gt;$C$6*12,0,$C$10)</f>
        <v/>
      </c>
      <c r="D283" s="20">
        <f>IF(B283&gt;$C$6*12,0,C283-E283)</f>
        <v/>
      </c>
      <c r="E283" s="20">
        <f>IF(B283&gt;$C$6*12,0,F282*$C$8/12)</f>
        <v/>
      </c>
      <c r="F283" s="20">
        <f>IF(B283&gt;$C$6*12,0,MAX(0,F282-D283))</f>
        <v/>
      </c>
    </row>
    <row r="284">
      <c r="B284" s="30" t="n">
        <v>269</v>
      </c>
      <c r="C284" s="20">
        <f>IF(B284&gt;$C$6*12,0,$C$10)</f>
        <v/>
      </c>
      <c r="D284" s="20">
        <f>IF(B284&gt;$C$6*12,0,C284-E284)</f>
        <v/>
      </c>
      <c r="E284" s="20">
        <f>IF(B284&gt;$C$6*12,0,F283*$C$8/12)</f>
        <v/>
      </c>
      <c r="F284" s="20">
        <f>IF(B284&gt;$C$6*12,0,MAX(0,F283-D284))</f>
        <v/>
      </c>
    </row>
    <row r="285">
      <c r="B285" s="30" t="n">
        <v>270</v>
      </c>
      <c r="C285" s="20">
        <f>IF(B285&gt;$C$6*12,0,$C$10)</f>
        <v/>
      </c>
      <c r="D285" s="20">
        <f>IF(B285&gt;$C$6*12,0,C285-E285)</f>
        <v/>
      </c>
      <c r="E285" s="20">
        <f>IF(B285&gt;$C$6*12,0,F284*$C$8/12)</f>
        <v/>
      </c>
      <c r="F285" s="20">
        <f>IF(B285&gt;$C$6*12,0,MAX(0,F284-D285))</f>
        <v/>
      </c>
    </row>
    <row r="286">
      <c r="B286" s="30" t="n">
        <v>271</v>
      </c>
      <c r="C286" s="20">
        <f>IF(B286&gt;$C$6*12,0,$C$10)</f>
        <v/>
      </c>
      <c r="D286" s="20">
        <f>IF(B286&gt;$C$6*12,0,C286-E286)</f>
        <v/>
      </c>
      <c r="E286" s="20">
        <f>IF(B286&gt;$C$6*12,0,F285*$C$8/12)</f>
        <v/>
      </c>
      <c r="F286" s="20">
        <f>IF(B286&gt;$C$6*12,0,MAX(0,F285-D286))</f>
        <v/>
      </c>
    </row>
    <row r="287">
      <c r="B287" s="30" t="n">
        <v>272</v>
      </c>
      <c r="C287" s="20">
        <f>IF(B287&gt;$C$6*12,0,$C$10)</f>
        <v/>
      </c>
      <c r="D287" s="20">
        <f>IF(B287&gt;$C$6*12,0,C287-E287)</f>
        <v/>
      </c>
      <c r="E287" s="20">
        <f>IF(B287&gt;$C$6*12,0,F286*$C$8/12)</f>
        <v/>
      </c>
      <c r="F287" s="20">
        <f>IF(B287&gt;$C$6*12,0,MAX(0,F286-D287))</f>
        <v/>
      </c>
    </row>
    <row r="288">
      <c r="B288" s="30" t="n">
        <v>273</v>
      </c>
      <c r="C288" s="20">
        <f>IF(B288&gt;$C$6*12,0,$C$10)</f>
        <v/>
      </c>
      <c r="D288" s="20">
        <f>IF(B288&gt;$C$6*12,0,C288-E288)</f>
        <v/>
      </c>
      <c r="E288" s="20">
        <f>IF(B288&gt;$C$6*12,0,F287*$C$8/12)</f>
        <v/>
      </c>
      <c r="F288" s="20">
        <f>IF(B288&gt;$C$6*12,0,MAX(0,F287-D288))</f>
        <v/>
      </c>
    </row>
    <row r="289">
      <c r="B289" s="30" t="n">
        <v>274</v>
      </c>
      <c r="C289" s="20">
        <f>IF(B289&gt;$C$6*12,0,$C$10)</f>
        <v/>
      </c>
      <c r="D289" s="20">
        <f>IF(B289&gt;$C$6*12,0,C289-E289)</f>
        <v/>
      </c>
      <c r="E289" s="20">
        <f>IF(B289&gt;$C$6*12,0,F288*$C$8/12)</f>
        <v/>
      </c>
      <c r="F289" s="20">
        <f>IF(B289&gt;$C$6*12,0,MAX(0,F288-D289))</f>
        <v/>
      </c>
    </row>
    <row r="290">
      <c r="B290" s="30" t="n">
        <v>275</v>
      </c>
      <c r="C290" s="20">
        <f>IF(B290&gt;$C$6*12,0,$C$10)</f>
        <v/>
      </c>
      <c r="D290" s="20">
        <f>IF(B290&gt;$C$6*12,0,C290-E290)</f>
        <v/>
      </c>
      <c r="E290" s="20">
        <f>IF(B290&gt;$C$6*12,0,F289*$C$8/12)</f>
        <v/>
      </c>
      <c r="F290" s="20">
        <f>IF(B290&gt;$C$6*12,0,MAX(0,F289-D290))</f>
        <v/>
      </c>
    </row>
    <row r="291">
      <c r="B291" s="30" t="n">
        <v>276</v>
      </c>
      <c r="C291" s="20">
        <f>IF(B291&gt;$C$6*12,0,$C$10)</f>
        <v/>
      </c>
      <c r="D291" s="20">
        <f>IF(B291&gt;$C$6*12,0,C291-E291)</f>
        <v/>
      </c>
      <c r="E291" s="20">
        <f>IF(B291&gt;$C$6*12,0,F290*$C$8/12)</f>
        <v/>
      </c>
      <c r="F291" s="20">
        <f>IF(B291&gt;$C$6*12,0,MAX(0,F290-D291))</f>
        <v/>
      </c>
    </row>
    <row r="292">
      <c r="B292" s="30" t="n">
        <v>277</v>
      </c>
      <c r="C292" s="20">
        <f>IF(B292&gt;$C$6*12,0,$C$10)</f>
        <v/>
      </c>
      <c r="D292" s="20">
        <f>IF(B292&gt;$C$6*12,0,C292-E292)</f>
        <v/>
      </c>
      <c r="E292" s="20">
        <f>IF(B292&gt;$C$6*12,0,F291*$C$8/12)</f>
        <v/>
      </c>
      <c r="F292" s="20">
        <f>IF(B292&gt;$C$6*12,0,MAX(0,F291-D292))</f>
        <v/>
      </c>
    </row>
    <row r="293">
      <c r="B293" s="30" t="n">
        <v>278</v>
      </c>
      <c r="C293" s="20">
        <f>IF(B293&gt;$C$6*12,0,$C$10)</f>
        <v/>
      </c>
      <c r="D293" s="20">
        <f>IF(B293&gt;$C$6*12,0,C293-E293)</f>
        <v/>
      </c>
      <c r="E293" s="20">
        <f>IF(B293&gt;$C$6*12,0,F292*$C$8/12)</f>
        <v/>
      </c>
      <c r="F293" s="20">
        <f>IF(B293&gt;$C$6*12,0,MAX(0,F292-D293))</f>
        <v/>
      </c>
    </row>
    <row r="294">
      <c r="B294" s="30" t="n">
        <v>279</v>
      </c>
      <c r="C294" s="20">
        <f>IF(B294&gt;$C$6*12,0,$C$10)</f>
        <v/>
      </c>
      <c r="D294" s="20">
        <f>IF(B294&gt;$C$6*12,0,C294-E294)</f>
        <v/>
      </c>
      <c r="E294" s="20">
        <f>IF(B294&gt;$C$6*12,0,F293*$C$8/12)</f>
        <v/>
      </c>
      <c r="F294" s="20">
        <f>IF(B294&gt;$C$6*12,0,MAX(0,F293-D294))</f>
        <v/>
      </c>
    </row>
    <row r="295">
      <c r="B295" s="30" t="n">
        <v>280</v>
      </c>
      <c r="C295" s="20">
        <f>IF(B295&gt;$C$6*12,0,$C$10)</f>
        <v/>
      </c>
      <c r="D295" s="20">
        <f>IF(B295&gt;$C$6*12,0,C295-E295)</f>
        <v/>
      </c>
      <c r="E295" s="20">
        <f>IF(B295&gt;$C$6*12,0,F294*$C$8/12)</f>
        <v/>
      </c>
      <c r="F295" s="20">
        <f>IF(B295&gt;$C$6*12,0,MAX(0,F294-D295))</f>
        <v/>
      </c>
    </row>
    <row r="296">
      <c r="B296" s="30" t="n">
        <v>281</v>
      </c>
      <c r="C296" s="20">
        <f>IF(B296&gt;$C$6*12,0,$C$10)</f>
        <v/>
      </c>
      <c r="D296" s="20">
        <f>IF(B296&gt;$C$6*12,0,C296-E296)</f>
        <v/>
      </c>
      <c r="E296" s="20">
        <f>IF(B296&gt;$C$6*12,0,F295*$C$8/12)</f>
        <v/>
      </c>
      <c r="F296" s="20">
        <f>IF(B296&gt;$C$6*12,0,MAX(0,F295-D296))</f>
        <v/>
      </c>
    </row>
    <row r="297">
      <c r="B297" s="30" t="n">
        <v>282</v>
      </c>
      <c r="C297" s="20">
        <f>IF(B297&gt;$C$6*12,0,$C$10)</f>
        <v/>
      </c>
      <c r="D297" s="20">
        <f>IF(B297&gt;$C$6*12,0,C297-E297)</f>
        <v/>
      </c>
      <c r="E297" s="20">
        <f>IF(B297&gt;$C$6*12,0,F296*$C$8/12)</f>
        <v/>
      </c>
      <c r="F297" s="20">
        <f>IF(B297&gt;$C$6*12,0,MAX(0,F296-D297))</f>
        <v/>
      </c>
    </row>
    <row r="298">
      <c r="B298" s="30" t="n">
        <v>283</v>
      </c>
      <c r="C298" s="20">
        <f>IF(B298&gt;$C$6*12,0,$C$10)</f>
        <v/>
      </c>
      <c r="D298" s="20">
        <f>IF(B298&gt;$C$6*12,0,C298-E298)</f>
        <v/>
      </c>
      <c r="E298" s="20">
        <f>IF(B298&gt;$C$6*12,0,F297*$C$8/12)</f>
        <v/>
      </c>
      <c r="F298" s="20">
        <f>IF(B298&gt;$C$6*12,0,MAX(0,F297-D298))</f>
        <v/>
      </c>
    </row>
    <row r="299">
      <c r="B299" s="30" t="n">
        <v>284</v>
      </c>
      <c r="C299" s="20">
        <f>IF(B299&gt;$C$6*12,0,$C$10)</f>
        <v/>
      </c>
      <c r="D299" s="20">
        <f>IF(B299&gt;$C$6*12,0,C299-E299)</f>
        <v/>
      </c>
      <c r="E299" s="20">
        <f>IF(B299&gt;$C$6*12,0,F298*$C$8/12)</f>
        <v/>
      </c>
      <c r="F299" s="20">
        <f>IF(B299&gt;$C$6*12,0,MAX(0,F298-D299))</f>
        <v/>
      </c>
    </row>
    <row r="300">
      <c r="B300" s="30" t="n">
        <v>285</v>
      </c>
      <c r="C300" s="20">
        <f>IF(B300&gt;$C$6*12,0,$C$10)</f>
        <v/>
      </c>
      <c r="D300" s="20">
        <f>IF(B300&gt;$C$6*12,0,C300-E300)</f>
        <v/>
      </c>
      <c r="E300" s="20">
        <f>IF(B300&gt;$C$6*12,0,F299*$C$8/12)</f>
        <v/>
      </c>
      <c r="F300" s="20">
        <f>IF(B300&gt;$C$6*12,0,MAX(0,F299-D300))</f>
        <v/>
      </c>
    </row>
    <row r="301">
      <c r="B301" s="30" t="n">
        <v>286</v>
      </c>
      <c r="C301" s="20">
        <f>IF(B301&gt;$C$6*12,0,$C$10)</f>
        <v/>
      </c>
      <c r="D301" s="20">
        <f>IF(B301&gt;$C$6*12,0,C301-E301)</f>
        <v/>
      </c>
      <c r="E301" s="20">
        <f>IF(B301&gt;$C$6*12,0,F300*$C$8/12)</f>
        <v/>
      </c>
      <c r="F301" s="20">
        <f>IF(B301&gt;$C$6*12,0,MAX(0,F300-D301))</f>
        <v/>
      </c>
    </row>
    <row r="302">
      <c r="B302" s="30" t="n">
        <v>287</v>
      </c>
      <c r="C302" s="20">
        <f>IF(B302&gt;$C$6*12,0,$C$10)</f>
        <v/>
      </c>
      <c r="D302" s="20">
        <f>IF(B302&gt;$C$6*12,0,C302-E302)</f>
        <v/>
      </c>
      <c r="E302" s="20">
        <f>IF(B302&gt;$C$6*12,0,F301*$C$8/12)</f>
        <v/>
      </c>
      <c r="F302" s="20">
        <f>IF(B302&gt;$C$6*12,0,MAX(0,F301-D302))</f>
        <v/>
      </c>
    </row>
    <row r="303">
      <c r="B303" s="30" t="n">
        <v>288</v>
      </c>
      <c r="C303" s="20">
        <f>IF(B303&gt;$C$6*12,0,$C$10)</f>
        <v/>
      </c>
      <c r="D303" s="20">
        <f>IF(B303&gt;$C$6*12,0,C303-E303)</f>
        <v/>
      </c>
      <c r="E303" s="20">
        <f>IF(B303&gt;$C$6*12,0,F302*$C$8/12)</f>
        <v/>
      </c>
      <c r="F303" s="20">
        <f>IF(B303&gt;$C$6*12,0,MAX(0,F302-D303))</f>
        <v/>
      </c>
    </row>
    <row r="304">
      <c r="B304" s="30" t="n">
        <v>289</v>
      </c>
      <c r="C304" s="20">
        <f>IF(B304&gt;$C$6*12,0,$C$10)</f>
        <v/>
      </c>
      <c r="D304" s="20">
        <f>IF(B304&gt;$C$6*12,0,C304-E304)</f>
        <v/>
      </c>
      <c r="E304" s="20">
        <f>IF(B304&gt;$C$6*12,0,F303*$C$8/12)</f>
        <v/>
      </c>
      <c r="F304" s="20">
        <f>IF(B304&gt;$C$6*12,0,MAX(0,F303-D304))</f>
        <v/>
      </c>
    </row>
    <row r="305">
      <c r="B305" s="30" t="n">
        <v>290</v>
      </c>
      <c r="C305" s="20">
        <f>IF(B305&gt;$C$6*12,0,$C$10)</f>
        <v/>
      </c>
      <c r="D305" s="20">
        <f>IF(B305&gt;$C$6*12,0,C305-E305)</f>
        <v/>
      </c>
      <c r="E305" s="20">
        <f>IF(B305&gt;$C$6*12,0,F304*$C$8/12)</f>
        <v/>
      </c>
      <c r="F305" s="20">
        <f>IF(B305&gt;$C$6*12,0,MAX(0,F304-D305))</f>
        <v/>
      </c>
    </row>
    <row r="306">
      <c r="B306" s="30" t="n">
        <v>291</v>
      </c>
      <c r="C306" s="20">
        <f>IF(B306&gt;$C$6*12,0,$C$10)</f>
        <v/>
      </c>
      <c r="D306" s="20">
        <f>IF(B306&gt;$C$6*12,0,C306-E306)</f>
        <v/>
      </c>
      <c r="E306" s="20">
        <f>IF(B306&gt;$C$6*12,0,F305*$C$8/12)</f>
        <v/>
      </c>
      <c r="F306" s="20">
        <f>IF(B306&gt;$C$6*12,0,MAX(0,F305-D306))</f>
        <v/>
      </c>
    </row>
    <row r="307">
      <c r="B307" s="30" t="n">
        <v>292</v>
      </c>
      <c r="C307" s="20">
        <f>IF(B307&gt;$C$6*12,0,$C$10)</f>
        <v/>
      </c>
      <c r="D307" s="20">
        <f>IF(B307&gt;$C$6*12,0,C307-E307)</f>
        <v/>
      </c>
      <c r="E307" s="20">
        <f>IF(B307&gt;$C$6*12,0,F306*$C$8/12)</f>
        <v/>
      </c>
      <c r="F307" s="20">
        <f>IF(B307&gt;$C$6*12,0,MAX(0,F306-D307))</f>
        <v/>
      </c>
    </row>
    <row r="308">
      <c r="B308" s="30" t="n">
        <v>293</v>
      </c>
      <c r="C308" s="20">
        <f>IF(B308&gt;$C$6*12,0,$C$10)</f>
        <v/>
      </c>
      <c r="D308" s="20">
        <f>IF(B308&gt;$C$6*12,0,C308-E308)</f>
        <v/>
      </c>
      <c r="E308" s="20">
        <f>IF(B308&gt;$C$6*12,0,F307*$C$8/12)</f>
        <v/>
      </c>
      <c r="F308" s="20">
        <f>IF(B308&gt;$C$6*12,0,MAX(0,F307-D308))</f>
        <v/>
      </c>
    </row>
    <row r="309">
      <c r="B309" s="30" t="n">
        <v>294</v>
      </c>
      <c r="C309" s="20">
        <f>IF(B309&gt;$C$6*12,0,$C$10)</f>
        <v/>
      </c>
      <c r="D309" s="20">
        <f>IF(B309&gt;$C$6*12,0,C309-E309)</f>
        <v/>
      </c>
      <c r="E309" s="20">
        <f>IF(B309&gt;$C$6*12,0,F308*$C$8/12)</f>
        <v/>
      </c>
      <c r="F309" s="20">
        <f>IF(B309&gt;$C$6*12,0,MAX(0,F308-D309))</f>
        <v/>
      </c>
    </row>
    <row r="310">
      <c r="B310" s="30" t="n">
        <v>295</v>
      </c>
      <c r="C310" s="20">
        <f>IF(B310&gt;$C$6*12,0,$C$10)</f>
        <v/>
      </c>
      <c r="D310" s="20">
        <f>IF(B310&gt;$C$6*12,0,C310-E310)</f>
        <v/>
      </c>
      <c r="E310" s="20">
        <f>IF(B310&gt;$C$6*12,0,F309*$C$8/12)</f>
        <v/>
      </c>
      <c r="F310" s="20">
        <f>IF(B310&gt;$C$6*12,0,MAX(0,F309-D310))</f>
        <v/>
      </c>
    </row>
    <row r="311">
      <c r="B311" s="30" t="n">
        <v>296</v>
      </c>
      <c r="C311" s="20">
        <f>IF(B311&gt;$C$6*12,0,$C$10)</f>
        <v/>
      </c>
      <c r="D311" s="20">
        <f>IF(B311&gt;$C$6*12,0,C311-E311)</f>
        <v/>
      </c>
      <c r="E311" s="20">
        <f>IF(B311&gt;$C$6*12,0,F310*$C$8/12)</f>
        <v/>
      </c>
      <c r="F311" s="20">
        <f>IF(B311&gt;$C$6*12,0,MAX(0,F310-D311))</f>
        <v/>
      </c>
    </row>
    <row r="312">
      <c r="B312" s="30" t="n">
        <v>297</v>
      </c>
      <c r="C312" s="20">
        <f>IF(B312&gt;$C$6*12,0,$C$10)</f>
        <v/>
      </c>
      <c r="D312" s="20">
        <f>IF(B312&gt;$C$6*12,0,C312-E312)</f>
        <v/>
      </c>
      <c r="E312" s="20">
        <f>IF(B312&gt;$C$6*12,0,F311*$C$8/12)</f>
        <v/>
      </c>
      <c r="F312" s="20">
        <f>IF(B312&gt;$C$6*12,0,MAX(0,F311-D312))</f>
        <v/>
      </c>
    </row>
    <row r="313">
      <c r="B313" s="30" t="n">
        <v>298</v>
      </c>
      <c r="C313" s="20">
        <f>IF(B313&gt;$C$6*12,0,$C$10)</f>
        <v/>
      </c>
      <c r="D313" s="20">
        <f>IF(B313&gt;$C$6*12,0,C313-E313)</f>
        <v/>
      </c>
      <c r="E313" s="20">
        <f>IF(B313&gt;$C$6*12,0,F312*$C$8/12)</f>
        <v/>
      </c>
      <c r="F313" s="20">
        <f>IF(B313&gt;$C$6*12,0,MAX(0,F312-D313))</f>
        <v/>
      </c>
    </row>
    <row r="314">
      <c r="B314" s="30" t="n">
        <v>299</v>
      </c>
      <c r="C314" s="20">
        <f>IF(B314&gt;$C$6*12,0,$C$10)</f>
        <v/>
      </c>
      <c r="D314" s="20">
        <f>IF(B314&gt;$C$6*12,0,C314-E314)</f>
        <v/>
      </c>
      <c r="E314" s="20">
        <f>IF(B314&gt;$C$6*12,0,F313*$C$8/12)</f>
        <v/>
      </c>
      <c r="F314" s="20">
        <f>IF(B314&gt;$C$6*12,0,MAX(0,F313-D314))</f>
        <v/>
      </c>
    </row>
    <row r="315">
      <c r="B315" s="30" t="n">
        <v>300</v>
      </c>
      <c r="C315" s="20">
        <f>IF(B315&gt;$C$6*12,0,$C$10)</f>
        <v/>
      </c>
      <c r="D315" s="20">
        <f>IF(B315&gt;$C$6*12,0,C315-E315)</f>
        <v/>
      </c>
      <c r="E315" s="20">
        <f>IF(B315&gt;$C$6*12,0,F314*$C$8/12)</f>
        <v/>
      </c>
      <c r="F315" s="20">
        <f>IF(B315&gt;$C$6*12,0,MAX(0,F314-D315))</f>
        <v/>
      </c>
    </row>
    <row r="316">
      <c r="B316" s="30" t="n">
        <v>301</v>
      </c>
      <c r="C316" s="20">
        <f>IF(B316&gt;$C$6*12,0,$C$10)</f>
        <v/>
      </c>
      <c r="D316" s="20">
        <f>IF(B316&gt;$C$6*12,0,C316-E316)</f>
        <v/>
      </c>
      <c r="E316" s="20">
        <f>IF(B316&gt;$C$6*12,0,F315*$C$8/12)</f>
        <v/>
      </c>
      <c r="F316" s="20">
        <f>IF(B316&gt;$C$6*12,0,MAX(0,F315-D316))</f>
        <v/>
      </c>
    </row>
    <row r="317">
      <c r="B317" s="30" t="n">
        <v>302</v>
      </c>
      <c r="C317" s="20">
        <f>IF(B317&gt;$C$6*12,0,$C$10)</f>
        <v/>
      </c>
      <c r="D317" s="20">
        <f>IF(B317&gt;$C$6*12,0,C317-E317)</f>
        <v/>
      </c>
      <c r="E317" s="20">
        <f>IF(B317&gt;$C$6*12,0,F316*$C$8/12)</f>
        <v/>
      </c>
      <c r="F317" s="20">
        <f>IF(B317&gt;$C$6*12,0,MAX(0,F316-D317))</f>
        <v/>
      </c>
    </row>
    <row r="318">
      <c r="B318" s="30" t="n">
        <v>303</v>
      </c>
      <c r="C318" s="20">
        <f>IF(B318&gt;$C$6*12,0,$C$10)</f>
        <v/>
      </c>
      <c r="D318" s="20">
        <f>IF(B318&gt;$C$6*12,0,C318-E318)</f>
        <v/>
      </c>
      <c r="E318" s="20">
        <f>IF(B318&gt;$C$6*12,0,F317*$C$8/12)</f>
        <v/>
      </c>
      <c r="F318" s="20">
        <f>IF(B318&gt;$C$6*12,0,MAX(0,F317-D318))</f>
        <v/>
      </c>
    </row>
    <row r="319">
      <c r="B319" s="30" t="n">
        <v>304</v>
      </c>
      <c r="C319" s="20">
        <f>IF(B319&gt;$C$6*12,0,$C$10)</f>
        <v/>
      </c>
      <c r="D319" s="20">
        <f>IF(B319&gt;$C$6*12,0,C319-E319)</f>
        <v/>
      </c>
      <c r="E319" s="20">
        <f>IF(B319&gt;$C$6*12,0,F318*$C$8/12)</f>
        <v/>
      </c>
      <c r="F319" s="20">
        <f>IF(B319&gt;$C$6*12,0,MAX(0,F318-D319))</f>
        <v/>
      </c>
    </row>
    <row r="320">
      <c r="B320" s="30" t="n">
        <v>305</v>
      </c>
      <c r="C320" s="20">
        <f>IF(B320&gt;$C$6*12,0,$C$10)</f>
        <v/>
      </c>
      <c r="D320" s="20">
        <f>IF(B320&gt;$C$6*12,0,C320-E320)</f>
        <v/>
      </c>
      <c r="E320" s="20">
        <f>IF(B320&gt;$C$6*12,0,F319*$C$8/12)</f>
        <v/>
      </c>
      <c r="F320" s="20">
        <f>IF(B320&gt;$C$6*12,0,MAX(0,F319-D320))</f>
        <v/>
      </c>
    </row>
    <row r="321">
      <c r="B321" s="30" t="n">
        <v>306</v>
      </c>
      <c r="C321" s="20">
        <f>IF(B321&gt;$C$6*12,0,$C$10)</f>
        <v/>
      </c>
      <c r="D321" s="20">
        <f>IF(B321&gt;$C$6*12,0,C321-E321)</f>
        <v/>
      </c>
      <c r="E321" s="20">
        <f>IF(B321&gt;$C$6*12,0,F320*$C$8/12)</f>
        <v/>
      </c>
      <c r="F321" s="20">
        <f>IF(B321&gt;$C$6*12,0,MAX(0,F320-D321))</f>
        <v/>
      </c>
    </row>
    <row r="322">
      <c r="B322" s="30" t="n">
        <v>307</v>
      </c>
      <c r="C322" s="20">
        <f>IF(B322&gt;$C$6*12,0,$C$10)</f>
        <v/>
      </c>
      <c r="D322" s="20">
        <f>IF(B322&gt;$C$6*12,0,C322-E322)</f>
        <v/>
      </c>
      <c r="E322" s="20">
        <f>IF(B322&gt;$C$6*12,0,F321*$C$8/12)</f>
        <v/>
      </c>
      <c r="F322" s="20">
        <f>IF(B322&gt;$C$6*12,0,MAX(0,F321-D322))</f>
        <v/>
      </c>
    </row>
    <row r="323">
      <c r="B323" s="30" t="n">
        <v>308</v>
      </c>
      <c r="C323" s="20">
        <f>IF(B323&gt;$C$6*12,0,$C$10)</f>
        <v/>
      </c>
      <c r="D323" s="20">
        <f>IF(B323&gt;$C$6*12,0,C323-E323)</f>
        <v/>
      </c>
      <c r="E323" s="20">
        <f>IF(B323&gt;$C$6*12,0,F322*$C$8/12)</f>
        <v/>
      </c>
      <c r="F323" s="20">
        <f>IF(B323&gt;$C$6*12,0,MAX(0,F322-D323))</f>
        <v/>
      </c>
    </row>
    <row r="324">
      <c r="B324" s="30" t="n">
        <v>309</v>
      </c>
      <c r="C324" s="20">
        <f>IF(B324&gt;$C$6*12,0,$C$10)</f>
        <v/>
      </c>
      <c r="D324" s="20">
        <f>IF(B324&gt;$C$6*12,0,C324-E324)</f>
        <v/>
      </c>
      <c r="E324" s="20">
        <f>IF(B324&gt;$C$6*12,0,F323*$C$8/12)</f>
        <v/>
      </c>
      <c r="F324" s="20">
        <f>IF(B324&gt;$C$6*12,0,MAX(0,F323-D324))</f>
        <v/>
      </c>
    </row>
    <row r="325">
      <c r="B325" s="30" t="n">
        <v>310</v>
      </c>
      <c r="C325" s="20">
        <f>IF(B325&gt;$C$6*12,0,$C$10)</f>
        <v/>
      </c>
      <c r="D325" s="20">
        <f>IF(B325&gt;$C$6*12,0,C325-E325)</f>
        <v/>
      </c>
      <c r="E325" s="20">
        <f>IF(B325&gt;$C$6*12,0,F324*$C$8/12)</f>
        <v/>
      </c>
      <c r="F325" s="20">
        <f>IF(B325&gt;$C$6*12,0,MAX(0,F324-D325))</f>
        <v/>
      </c>
    </row>
    <row r="326">
      <c r="B326" s="30" t="n">
        <v>311</v>
      </c>
      <c r="C326" s="20">
        <f>IF(B326&gt;$C$6*12,0,$C$10)</f>
        <v/>
      </c>
      <c r="D326" s="20">
        <f>IF(B326&gt;$C$6*12,0,C326-E326)</f>
        <v/>
      </c>
      <c r="E326" s="20">
        <f>IF(B326&gt;$C$6*12,0,F325*$C$8/12)</f>
        <v/>
      </c>
      <c r="F326" s="20">
        <f>IF(B326&gt;$C$6*12,0,MAX(0,F325-D326))</f>
        <v/>
      </c>
    </row>
    <row r="327">
      <c r="B327" s="30" t="n">
        <v>312</v>
      </c>
      <c r="C327" s="20">
        <f>IF(B327&gt;$C$6*12,0,$C$10)</f>
        <v/>
      </c>
      <c r="D327" s="20">
        <f>IF(B327&gt;$C$6*12,0,C327-E327)</f>
        <v/>
      </c>
      <c r="E327" s="20">
        <f>IF(B327&gt;$C$6*12,0,F326*$C$8/12)</f>
        <v/>
      </c>
      <c r="F327" s="20">
        <f>IF(B327&gt;$C$6*12,0,MAX(0,F326-D327))</f>
        <v/>
      </c>
    </row>
    <row r="328">
      <c r="B328" s="30" t="n">
        <v>313</v>
      </c>
      <c r="C328" s="20">
        <f>IF(B328&gt;$C$6*12,0,$C$10)</f>
        <v/>
      </c>
      <c r="D328" s="20">
        <f>IF(B328&gt;$C$6*12,0,C328-E328)</f>
        <v/>
      </c>
      <c r="E328" s="20">
        <f>IF(B328&gt;$C$6*12,0,F327*$C$8/12)</f>
        <v/>
      </c>
      <c r="F328" s="20">
        <f>IF(B328&gt;$C$6*12,0,MAX(0,F327-D328))</f>
        <v/>
      </c>
    </row>
    <row r="329">
      <c r="B329" s="30" t="n">
        <v>314</v>
      </c>
      <c r="C329" s="20">
        <f>IF(B329&gt;$C$6*12,0,$C$10)</f>
        <v/>
      </c>
      <c r="D329" s="20">
        <f>IF(B329&gt;$C$6*12,0,C329-E329)</f>
        <v/>
      </c>
      <c r="E329" s="20">
        <f>IF(B329&gt;$C$6*12,0,F328*$C$8/12)</f>
        <v/>
      </c>
      <c r="F329" s="20">
        <f>IF(B329&gt;$C$6*12,0,MAX(0,F328-D329))</f>
        <v/>
      </c>
    </row>
    <row r="330">
      <c r="B330" s="30" t="n">
        <v>315</v>
      </c>
      <c r="C330" s="20">
        <f>IF(B330&gt;$C$6*12,0,$C$10)</f>
        <v/>
      </c>
      <c r="D330" s="20">
        <f>IF(B330&gt;$C$6*12,0,C330-E330)</f>
        <v/>
      </c>
      <c r="E330" s="20">
        <f>IF(B330&gt;$C$6*12,0,F329*$C$8/12)</f>
        <v/>
      </c>
      <c r="F330" s="20">
        <f>IF(B330&gt;$C$6*12,0,MAX(0,F329-D330))</f>
        <v/>
      </c>
    </row>
    <row r="331">
      <c r="B331" s="30" t="n">
        <v>316</v>
      </c>
      <c r="C331" s="20">
        <f>IF(B331&gt;$C$6*12,0,$C$10)</f>
        <v/>
      </c>
      <c r="D331" s="20">
        <f>IF(B331&gt;$C$6*12,0,C331-E331)</f>
        <v/>
      </c>
      <c r="E331" s="20">
        <f>IF(B331&gt;$C$6*12,0,F330*$C$8/12)</f>
        <v/>
      </c>
      <c r="F331" s="20">
        <f>IF(B331&gt;$C$6*12,0,MAX(0,F330-D331))</f>
        <v/>
      </c>
    </row>
    <row r="332">
      <c r="B332" s="30" t="n">
        <v>317</v>
      </c>
      <c r="C332" s="20">
        <f>IF(B332&gt;$C$6*12,0,$C$10)</f>
        <v/>
      </c>
      <c r="D332" s="20">
        <f>IF(B332&gt;$C$6*12,0,C332-E332)</f>
        <v/>
      </c>
      <c r="E332" s="20">
        <f>IF(B332&gt;$C$6*12,0,F331*$C$8/12)</f>
        <v/>
      </c>
      <c r="F332" s="20">
        <f>IF(B332&gt;$C$6*12,0,MAX(0,F331-D332))</f>
        <v/>
      </c>
    </row>
    <row r="333">
      <c r="B333" s="30" t="n">
        <v>318</v>
      </c>
      <c r="C333" s="20">
        <f>IF(B333&gt;$C$6*12,0,$C$10)</f>
        <v/>
      </c>
      <c r="D333" s="20">
        <f>IF(B333&gt;$C$6*12,0,C333-E333)</f>
        <v/>
      </c>
      <c r="E333" s="20">
        <f>IF(B333&gt;$C$6*12,0,F332*$C$8/12)</f>
        <v/>
      </c>
      <c r="F333" s="20">
        <f>IF(B333&gt;$C$6*12,0,MAX(0,F332-D333))</f>
        <v/>
      </c>
    </row>
    <row r="334">
      <c r="B334" s="30" t="n">
        <v>319</v>
      </c>
      <c r="C334" s="20">
        <f>IF(B334&gt;$C$6*12,0,$C$10)</f>
        <v/>
      </c>
      <c r="D334" s="20">
        <f>IF(B334&gt;$C$6*12,0,C334-E334)</f>
        <v/>
      </c>
      <c r="E334" s="20">
        <f>IF(B334&gt;$C$6*12,0,F333*$C$8/12)</f>
        <v/>
      </c>
      <c r="F334" s="20">
        <f>IF(B334&gt;$C$6*12,0,MAX(0,F333-D334))</f>
        <v/>
      </c>
    </row>
    <row r="335">
      <c r="B335" s="30" t="n">
        <v>320</v>
      </c>
      <c r="C335" s="20">
        <f>IF(B335&gt;$C$6*12,0,$C$10)</f>
        <v/>
      </c>
      <c r="D335" s="20">
        <f>IF(B335&gt;$C$6*12,0,C335-E335)</f>
        <v/>
      </c>
      <c r="E335" s="20">
        <f>IF(B335&gt;$C$6*12,0,F334*$C$8/12)</f>
        <v/>
      </c>
      <c r="F335" s="20">
        <f>IF(B335&gt;$C$6*12,0,MAX(0,F334-D335))</f>
        <v/>
      </c>
    </row>
    <row r="336">
      <c r="B336" s="30" t="n">
        <v>321</v>
      </c>
      <c r="C336" s="20">
        <f>IF(B336&gt;$C$6*12,0,$C$10)</f>
        <v/>
      </c>
      <c r="D336" s="20">
        <f>IF(B336&gt;$C$6*12,0,C336-E336)</f>
        <v/>
      </c>
      <c r="E336" s="20">
        <f>IF(B336&gt;$C$6*12,0,F335*$C$8/12)</f>
        <v/>
      </c>
      <c r="F336" s="20">
        <f>IF(B336&gt;$C$6*12,0,MAX(0,F335-D336))</f>
        <v/>
      </c>
    </row>
    <row r="337">
      <c r="B337" s="30" t="n">
        <v>322</v>
      </c>
      <c r="C337" s="20">
        <f>IF(B337&gt;$C$6*12,0,$C$10)</f>
        <v/>
      </c>
      <c r="D337" s="20">
        <f>IF(B337&gt;$C$6*12,0,C337-E337)</f>
        <v/>
      </c>
      <c r="E337" s="20">
        <f>IF(B337&gt;$C$6*12,0,F336*$C$8/12)</f>
        <v/>
      </c>
      <c r="F337" s="20">
        <f>IF(B337&gt;$C$6*12,0,MAX(0,F336-D337))</f>
        <v/>
      </c>
    </row>
    <row r="338">
      <c r="B338" s="30" t="n">
        <v>323</v>
      </c>
      <c r="C338" s="20">
        <f>IF(B338&gt;$C$6*12,0,$C$10)</f>
        <v/>
      </c>
      <c r="D338" s="20">
        <f>IF(B338&gt;$C$6*12,0,C338-E338)</f>
        <v/>
      </c>
      <c r="E338" s="20">
        <f>IF(B338&gt;$C$6*12,0,F337*$C$8/12)</f>
        <v/>
      </c>
      <c r="F338" s="20">
        <f>IF(B338&gt;$C$6*12,0,MAX(0,F337-D338))</f>
        <v/>
      </c>
    </row>
    <row r="339">
      <c r="B339" s="30" t="n">
        <v>324</v>
      </c>
      <c r="C339" s="20">
        <f>IF(B339&gt;$C$6*12,0,$C$10)</f>
        <v/>
      </c>
      <c r="D339" s="20">
        <f>IF(B339&gt;$C$6*12,0,C339-E339)</f>
        <v/>
      </c>
      <c r="E339" s="20">
        <f>IF(B339&gt;$C$6*12,0,F338*$C$8/12)</f>
        <v/>
      </c>
      <c r="F339" s="20">
        <f>IF(B339&gt;$C$6*12,0,MAX(0,F338-D339))</f>
        <v/>
      </c>
    </row>
    <row r="340">
      <c r="B340" s="30" t="n">
        <v>325</v>
      </c>
      <c r="C340" s="20">
        <f>IF(B340&gt;$C$6*12,0,$C$10)</f>
        <v/>
      </c>
      <c r="D340" s="20">
        <f>IF(B340&gt;$C$6*12,0,C340-E340)</f>
        <v/>
      </c>
      <c r="E340" s="20">
        <f>IF(B340&gt;$C$6*12,0,F339*$C$8/12)</f>
        <v/>
      </c>
      <c r="F340" s="20">
        <f>IF(B340&gt;$C$6*12,0,MAX(0,F339-D340))</f>
        <v/>
      </c>
    </row>
    <row r="341">
      <c r="B341" s="30" t="n">
        <v>326</v>
      </c>
      <c r="C341" s="20">
        <f>IF(B341&gt;$C$6*12,0,$C$10)</f>
        <v/>
      </c>
      <c r="D341" s="20">
        <f>IF(B341&gt;$C$6*12,0,C341-E341)</f>
        <v/>
      </c>
      <c r="E341" s="20">
        <f>IF(B341&gt;$C$6*12,0,F340*$C$8/12)</f>
        <v/>
      </c>
      <c r="F341" s="20">
        <f>IF(B341&gt;$C$6*12,0,MAX(0,F340-D341))</f>
        <v/>
      </c>
    </row>
    <row r="342">
      <c r="B342" s="30" t="n">
        <v>327</v>
      </c>
      <c r="C342" s="20">
        <f>IF(B342&gt;$C$6*12,0,$C$10)</f>
        <v/>
      </c>
      <c r="D342" s="20">
        <f>IF(B342&gt;$C$6*12,0,C342-E342)</f>
        <v/>
      </c>
      <c r="E342" s="20">
        <f>IF(B342&gt;$C$6*12,0,F341*$C$8/12)</f>
        <v/>
      </c>
      <c r="F342" s="20">
        <f>IF(B342&gt;$C$6*12,0,MAX(0,F341-D342))</f>
        <v/>
      </c>
    </row>
    <row r="343">
      <c r="B343" s="30" t="n">
        <v>328</v>
      </c>
      <c r="C343" s="20">
        <f>IF(B343&gt;$C$6*12,0,$C$10)</f>
        <v/>
      </c>
      <c r="D343" s="20">
        <f>IF(B343&gt;$C$6*12,0,C343-E343)</f>
        <v/>
      </c>
      <c r="E343" s="20">
        <f>IF(B343&gt;$C$6*12,0,F342*$C$8/12)</f>
        <v/>
      </c>
      <c r="F343" s="20">
        <f>IF(B343&gt;$C$6*12,0,MAX(0,F342-D343))</f>
        <v/>
      </c>
    </row>
    <row r="344">
      <c r="B344" s="30" t="n">
        <v>329</v>
      </c>
      <c r="C344" s="20">
        <f>IF(B344&gt;$C$6*12,0,$C$10)</f>
        <v/>
      </c>
      <c r="D344" s="20">
        <f>IF(B344&gt;$C$6*12,0,C344-E344)</f>
        <v/>
      </c>
      <c r="E344" s="20">
        <f>IF(B344&gt;$C$6*12,0,F343*$C$8/12)</f>
        <v/>
      </c>
      <c r="F344" s="20">
        <f>IF(B344&gt;$C$6*12,0,MAX(0,F343-D344))</f>
        <v/>
      </c>
    </row>
    <row r="345">
      <c r="B345" s="30" t="n">
        <v>330</v>
      </c>
      <c r="C345" s="20">
        <f>IF(B345&gt;$C$6*12,0,$C$10)</f>
        <v/>
      </c>
      <c r="D345" s="20">
        <f>IF(B345&gt;$C$6*12,0,C345-E345)</f>
        <v/>
      </c>
      <c r="E345" s="20">
        <f>IF(B345&gt;$C$6*12,0,F344*$C$8/12)</f>
        <v/>
      </c>
      <c r="F345" s="20">
        <f>IF(B345&gt;$C$6*12,0,MAX(0,F344-D345))</f>
        <v/>
      </c>
    </row>
    <row r="346">
      <c r="B346" s="30" t="n">
        <v>331</v>
      </c>
      <c r="C346" s="20">
        <f>IF(B346&gt;$C$6*12,0,$C$10)</f>
        <v/>
      </c>
      <c r="D346" s="20">
        <f>IF(B346&gt;$C$6*12,0,C346-E346)</f>
        <v/>
      </c>
      <c r="E346" s="20">
        <f>IF(B346&gt;$C$6*12,0,F345*$C$8/12)</f>
        <v/>
      </c>
      <c r="F346" s="20">
        <f>IF(B346&gt;$C$6*12,0,MAX(0,F345-D346))</f>
        <v/>
      </c>
    </row>
    <row r="347">
      <c r="B347" s="30" t="n">
        <v>332</v>
      </c>
      <c r="C347" s="20">
        <f>IF(B347&gt;$C$6*12,0,$C$10)</f>
        <v/>
      </c>
      <c r="D347" s="20">
        <f>IF(B347&gt;$C$6*12,0,C347-E347)</f>
        <v/>
      </c>
      <c r="E347" s="20">
        <f>IF(B347&gt;$C$6*12,0,F346*$C$8/12)</f>
        <v/>
      </c>
      <c r="F347" s="20">
        <f>IF(B347&gt;$C$6*12,0,MAX(0,F346-D347))</f>
        <v/>
      </c>
    </row>
    <row r="348">
      <c r="B348" s="30" t="n">
        <v>333</v>
      </c>
      <c r="C348" s="20">
        <f>IF(B348&gt;$C$6*12,0,$C$10)</f>
        <v/>
      </c>
      <c r="D348" s="20">
        <f>IF(B348&gt;$C$6*12,0,C348-E348)</f>
        <v/>
      </c>
      <c r="E348" s="20">
        <f>IF(B348&gt;$C$6*12,0,F347*$C$8/12)</f>
        <v/>
      </c>
      <c r="F348" s="20">
        <f>IF(B348&gt;$C$6*12,0,MAX(0,F347-D348))</f>
        <v/>
      </c>
    </row>
    <row r="349">
      <c r="B349" s="30" t="n">
        <v>334</v>
      </c>
      <c r="C349" s="20">
        <f>IF(B349&gt;$C$6*12,0,$C$10)</f>
        <v/>
      </c>
      <c r="D349" s="20">
        <f>IF(B349&gt;$C$6*12,0,C349-E349)</f>
        <v/>
      </c>
      <c r="E349" s="20">
        <f>IF(B349&gt;$C$6*12,0,F348*$C$8/12)</f>
        <v/>
      </c>
      <c r="F349" s="20">
        <f>IF(B349&gt;$C$6*12,0,MAX(0,F348-D349))</f>
        <v/>
      </c>
    </row>
    <row r="350">
      <c r="B350" s="30" t="n">
        <v>335</v>
      </c>
      <c r="C350" s="20">
        <f>IF(B350&gt;$C$6*12,0,$C$10)</f>
        <v/>
      </c>
      <c r="D350" s="20">
        <f>IF(B350&gt;$C$6*12,0,C350-E350)</f>
        <v/>
      </c>
      <c r="E350" s="20">
        <f>IF(B350&gt;$C$6*12,0,F349*$C$8/12)</f>
        <v/>
      </c>
      <c r="F350" s="20">
        <f>IF(B350&gt;$C$6*12,0,MAX(0,F349-D350))</f>
        <v/>
      </c>
    </row>
    <row r="351">
      <c r="B351" s="30" t="n">
        <v>336</v>
      </c>
      <c r="C351" s="20">
        <f>IF(B351&gt;$C$6*12,0,$C$10)</f>
        <v/>
      </c>
      <c r="D351" s="20">
        <f>IF(B351&gt;$C$6*12,0,C351-E351)</f>
        <v/>
      </c>
      <c r="E351" s="20">
        <f>IF(B351&gt;$C$6*12,0,F350*$C$8/12)</f>
        <v/>
      </c>
      <c r="F351" s="20">
        <f>IF(B351&gt;$C$6*12,0,MAX(0,F350-D351))</f>
        <v/>
      </c>
    </row>
    <row r="352">
      <c r="B352" s="30" t="n">
        <v>337</v>
      </c>
      <c r="C352" s="20">
        <f>IF(B352&gt;$C$6*12,0,$C$10)</f>
        <v/>
      </c>
      <c r="D352" s="20">
        <f>IF(B352&gt;$C$6*12,0,C352-E352)</f>
        <v/>
      </c>
      <c r="E352" s="20">
        <f>IF(B352&gt;$C$6*12,0,F351*$C$8/12)</f>
        <v/>
      </c>
      <c r="F352" s="20">
        <f>IF(B352&gt;$C$6*12,0,MAX(0,F351-D352))</f>
        <v/>
      </c>
    </row>
    <row r="353">
      <c r="B353" s="30" t="n">
        <v>338</v>
      </c>
      <c r="C353" s="20">
        <f>IF(B353&gt;$C$6*12,0,$C$10)</f>
        <v/>
      </c>
      <c r="D353" s="20">
        <f>IF(B353&gt;$C$6*12,0,C353-E353)</f>
        <v/>
      </c>
      <c r="E353" s="20">
        <f>IF(B353&gt;$C$6*12,0,F352*$C$8/12)</f>
        <v/>
      </c>
      <c r="F353" s="20">
        <f>IF(B353&gt;$C$6*12,0,MAX(0,F352-D353))</f>
        <v/>
      </c>
    </row>
    <row r="354">
      <c r="B354" s="30" t="n">
        <v>339</v>
      </c>
      <c r="C354" s="20">
        <f>IF(B354&gt;$C$6*12,0,$C$10)</f>
        <v/>
      </c>
      <c r="D354" s="20">
        <f>IF(B354&gt;$C$6*12,0,C354-E354)</f>
        <v/>
      </c>
      <c r="E354" s="20">
        <f>IF(B354&gt;$C$6*12,0,F353*$C$8/12)</f>
        <v/>
      </c>
      <c r="F354" s="20">
        <f>IF(B354&gt;$C$6*12,0,MAX(0,F353-D354))</f>
        <v/>
      </c>
    </row>
    <row r="355">
      <c r="B355" s="30" t="n">
        <v>340</v>
      </c>
      <c r="C355" s="20">
        <f>IF(B355&gt;$C$6*12,0,$C$10)</f>
        <v/>
      </c>
      <c r="D355" s="20">
        <f>IF(B355&gt;$C$6*12,0,C355-E355)</f>
        <v/>
      </c>
      <c r="E355" s="20">
        <f>IF(B355&gt;$C$6*12,0,F354*$C$8/12)</f>
        <v/>
      </c>
      <c r="F355" s="20">
        <f>IF(B355&gt;$C$6*12,0,MAX(0,F354-D355))</f>
        <v/>
      </c>
    </row>
    <row r="356">
      <c r="B356" s="30" t="n">
        <v>341</v>
      </c>
      <c r="C356" s="20">
        <f>IF(B356&gt;$C$6*12,0,$C$10)</f>
        <v/>
      </c>
      <c r="D356" s="20">
        <f>IF(B356&gt;$C$6*12,0,C356-E356)</f>
        <v/>
      </c>
      <c r="E356" s="20">
        <f>IF(B356&gt;$C$6*12,0,F355*$C$8/12)</f>
        <v/>
      </c>
      <c r="F356" s="20">
        <f>IF(B356&gt;$C$6*12,0,MAX(0,F355-D356))</f>
        <v/>
      </c>
    </row>
    <row r="357">
      <c r="B357" s="30" t="n">
        <v>342</v>
      </c>
      <c r="C357" s="20">
        <f>IF(B357&gt;$C$6*12,0,$C$10)</f>
        <v/>
      </c>
      <c r="D357" s="20">
        <f>IF(B357&gt;$C$6*12,0,C357-E357)</f>
        <v/>
      </c>
      <c r="E357" s="20">
        <f>IF(B357&gt;$C$6*12,0,F356*$C$8/12)</f>
        <v/>
      </c>
      <c r="F357" s="20">
        <f>IF(B357&gt;$C$6*12,0,MAX(0,F356-D357))</f>
        <v/>
      </c>
    </row>
    <row r="358">
      <c r="B358" s="30" t="n">
        <v>343</v>
      </c>
      <c r="C358" s="20">
        <f>IF(B358&gt;$C$6*12,0,$C$10)</f>
        <v/>
      </c>
      <c r="D358" s="20">
        <f>IF(B358&gt;$C$6*12,0,C358-E358)</f>
        <v/>
      </c>
      <c r="E358" s="20">
        <f>IF(B358&gt;$C$6*12,0,F357*$C$8/12)</f>
        <v/>
      </c>
      <c r="F358" s="20">
        <f>IF(B358&gt;$C$6*12,0,MAX(0,F357-D358))</f>
        <v/>
      </c>
    </row>
    <row r="359">
      <c r="B359" s="30" t="n">
        <v>344</v>
      </c>
      <c r="C359" s="20">
        <f>IF(B359&gt;$C$6*12,0,$C$10)</f>
        <v/>
      </c>
      <c r="D359" s="20">
        <f>IF(B359&gt;$C$6*12,0,C359-E359)</f>
        <v/>
      </c>
      <c r="E359" s="20">
        <f>IF(B359&gt;$C$6*12,0,F358*$C$8/12)</f>
        <v/>
      </c>
      <c r="F359" s="20">
        <f>IF(B359&gt;$C$6*12,0,MAX(0,F358-D359))</f>
        <v/>
      </c>
    </row>
    <row r="360">
      <c r="B360" s="30" t="n">
        <v>345</v>
      </c>
      <c r="C360" s="20">
        <f>IF(B360&gt;$C$6*12,0,$C$10)</f>
        <v/>
      </c>
      <c r="D360" s="20">
        <f>IF(B360&gt;$C$6*12,0,C360-E360)</f>
        <v/>
      </c>
      <c r="E360" s="20">
        <f>IF(B360&gt;$C$6*12,0,F359*$C$8/12)</f>
        <v/>
      </c>
      <c r="F360" s="20">
        <f>IF(B360&gt;$C$6*12,0,MAX(0,F359-D360))</f>
        <v/>
      </c>
    </row>
    <row r="361">
      <c r="B361" s="30" t="n">
        <v>346</v>
      </c>
      <c r="C361" s="20">
        <f>IF(B361&gt;$C$6*12,0,$C$10)</f>
        <v/>
      </c>
      <c r="D361" s="20">
        <f>IF(B361&gt;$C$6*12,0,C361-E361)</f>
        <v/>
      </c>
      <c r="E361" s="20">
        <f>IF(B361&gt;$C$6*12,0,F360*$C$8/12)</f>
        <v/>
      </c>
      <c r="F361" s="20">
        <f>IF(B361&gt;$C$6*12,0,MAX(0,F360-D361))</f>
        <v/>
      </c>
    </row>
    <row r="362">
      <c r="B362" s="30" t="n">
        <v>347</v>
      </c>
      <c r="C362" s="20">
        <f>IF(B362&gt;$C$6*12,0,$C$10)</f>
        <v/>
      </c>
      <c r="D362" s="20">
        <f>IF(B362&gt;$C$6*12,0,C362-E362)</f>
        <v/>
      </c>
      <c r="E362" s="20">
        <f>IF(B362&gt;$C$6*12,0,F361*$C$8/12)</f>
        <v/>
      </c>
      <c r="F362" s="20">
        <f>IF(B362&gt;$C$6*12,0,MAX(0,F361-D362))</f>
        <v/>
      </c>
    </row>
    <row r="363">
      <c r="B363" s="30" t="n">
        <v>348</v>
      </c>
      <c r="C363" s="20">
        <f>IF(B363&gt;$C$6*12,0,$C$10)</f>
        <v/>
      </c>
      <c r="D363" s="20">
        <f>IF(B363&gt;$C$6*12,0,C363-E363)</f>
        <v/>
      </c>
      <c r="E363" s="20">
        <f>IF(B363&gt;$C$6*12,0,F362*$C$8/12)</f>
        <v/>
      </c>
      <c r="F363" s="20">
        <f>IF(B363&gt;$C$6*12,0,MAX(0,F362-D363))</f>
        <v/>
      </c>
    </row>
    <row r="364">
      <c r="B364" s="30" t="n">
        <v>349</v>
      </c>
      <c r="C364" s="20">
        <f>IF(B364&gt;$C$6*12,0,$C$10)</f>
        <v/>
      </c>
      <c r="D364" s="20">
        <f>IF(B364&gt;$C$6*12,0,C364-E364)</f>
        <v/>
      </c>
      <c r="E364" s="20">
        <f>IF(B364&gt;$C$6*12,0,F363*$C$8/12)</f>
        <v/>
      </c>
      <c r="F364" s="20">
        <f>IF(B364&gt;$C$6*12,0,MAX(0,F363-D364))</f>
        <v/>
      </c>
    </row>
    <row r="365">
      <c r="B365" s="30" t="n">
        <v>350</v>
      </c>
      <c r="C365" s="20">
        <f>IF(B365&gt;$C$6*12,0,$C$10)</f>
        <v/>
      </c>
      <c r="D365" s="20">
        <f>IF(B365&gt;$C$6*12,0,C365-E365)</f>
        <v/>
      </c>
      <c r="E365" s="20">
        <f>IF(B365&gt;$C$6*12,0,F364*$C$8/12)</f>
        <v/>
      </c>
      <c r="F365" s="20">
        <f>IF(B365&gt;$C$6*12,0,MAX(0,F364-D365))</f>
        <v/>
      </c>
    </row>
    <row r="366">
      <c r="B366" s="30" t="n">
        <v>351</v>
      </c>
      <c r="C366" s="20">
        <f>IF(B366&gt;$C$6*12,0,$C$10)</f>
        <v/>
      </c>
      <c r="D366" s="20">
        <f>IF(B366&gt;$C$6*12,0,C366-E366)</f>
        <v/>
      </c>
      <c r="E366" s="20">
        <f>IF(B366&gt;$C$6*12,0,F365*$C$8/12)</f>
        <v/>
      </c>
      <c r="F366" s="20">
        <f>IF(B366&gt;$C$6*12,0,MAX(0,F365-D366))</f>
        <v/>
      </c>
    </row>
    <row r="367">
      <c r="B367" s="30" t="n">
        <v>352</v>
      </c>
      <c r="C367" s="20">
        <f>IF(B367&gt;$C$6*12,0,$C$10)</f>
        <v/>
      </c>
      <c r="D367" s="20">
        <f>IF(B367&gt;$C$6*12,0,C367-E367)</f>
        <v/>
      </c>
      <c r="E367" s="20">
        <f>IF(B367&gt;$C$6*12,0,F366*$C$8/12)</f>
        <v/>
      </c>
      <c r="F367" s="20">
        <f>IF(B367&gt;$C$6*12,0,MAX(0,F366-D367))</f>
        <v/>
      </c>
    </row>
    <row r="368">
      <c r="B368" s="30" t="n">
        <v>353</v>
      </c>
      <c r="C368" s="20">
        <f>IF(B368&gt;$C$6*12,0,$C$10)</f>
        <v/>
      </c>
      <c r="D368" s="20">
        <f>IF(B368&gt;$C$6*12,0,C368-E368)</f>
        <v/>
      </c>
      <c r="E368" s="20">
        <f>IF(B368&gt;$C$6*12,0,F367*$C$8/12)</f>
        <v/>
      </c>
      <c r="F368" s="20">
        <f>IF(B368&gt;$C$6*12,0,MAX(0,F367-D368))</f>
        <v/>
      </c>
    </row>
    <row r="369">
      <c r="B369" s="30" t="n">
        <v>354</v>
      </c>
      <c r="C369" s="20">
        <f>IF(B369&gt;$C$6*12,0,$C$10)</f>
        <v/>
      </c>
      <c r="D369" s="20">
        <f>IF(B369&gt;$C$6*12,0,C369-E369)</f>
        <v/>
      </c>
      <c r="E369" s="20">
        <f>IF(B369&gt;$C$6*12,0,F368*$C$8/12)</f>
        <v/>
      </c>
      <c r="F369" s="20">
        <f>IF(B369&gt;$C$6*12,0,MAX(0,F368-D369))</f>
        <v/>
      </c>
    </row>
    <row r="370">
      <c r="B370" s="30" t="n">
        <v>355</v>
      </c>
      <c r="C370" s="20">
        <f>IF(B370&gt;$C$6*12,0,$C$10)</f>
        <v/>
      </c>
      <c r="D370" s="20">
        <f>IF(B370&gt;$C$6*12,0,C370-E370)</f>
        <v/>
      </c>
      <c r="E370" s="20">
        <f>IF(B370&gt;$C$6*12,0,F369*$C$8/12)</f>
        <v/>
      </c>
      <c r="F370" s="20">
        <f>IF(B370&gt;$C$6*12,0,MAX(0,F369-D370))</f>
        <v/>
      </c>
    </row>
    <row r="371">
      <c r="B371" s="30" t="n">
        <v>356</v>
      </c>
      <c r="C371" s="20">
        <f>IF(B371&gt;$C$6*12,0,$C$10)</f>
        <v/>
      </c>
      <c r="D371" s="20">
        <f>IF(B371&gt;$C$6*12,0,C371-E371)</f>
        <v/>
      </c>
      <c r="E371" s="20">
        <f>IF(B371&gt;$C$6*12,0,F370*$C$8/12)</f>
        <v/>
      </c>
      <c r="F371" s="20">
        <f>IF(B371&gt;$C$6*12,0,MAX(0,F370-D371))</f>
        <v/>
      </c>
    </row>
    <row r="372">
      <c r="B372" s="30" t="n">
        <v>357</v>
      </c>
      <c r="C372" s="20">
        <f>IF(B372&gt;$C$6*12,0,$C$10)</f>
        <v/>
      </c>
      <c r="D372" s="20">
        <f>IF(B372&gt;$C$6*12,0,C372-E372)</f>
        <v/>
      </c>
      <c r="E372" s="20">
        <f>IF(B372&gt;$C$6*12,0,F371*$C$8/12)</f>
        <v/>
      </c>
      <c r="F372" s="20">
        <f>IF(B372&gt;$C$6*12,0,MAX(0,F371-D372))</f>
        <v/>
      </c>
    </row>
    <row r="373">
      <c r="B373" s="30" t="n">
        <v>358</v>
      </c>
      <c r="C373" s="20">
        <f>IF(B373&gt;$C$6*12,0,$C$10)</f>
        <v/>
      </c>
      <c r="D373" s="20">
        <f>IF(B373&gt;$C$6*12,0,C373-E373)</f>
        <v/>
      </c>
      <c r="E373" s="20">
        <f>IF(B373&gt;$C$6*12,0,F372*$C$8/12)</f>
        <v/>
      </c>
      <c r="F373" s="20">
        <f>IF(B373&gt;$C$6*12,0,MAX(0,F372-D373))</f>
        <v/>
      </c>
    </row>
    <row r="374">
      <c r="B374" s="30" t="n">
        <v>359</v>
      </c>
      <c r="C374" s="20">
        <f>IF(B374&gt;$C$6*12,0,$C$10)</f>
        <v/>
      </c>
      <c r="D374" s="20">
        <f>IF(B374&gt;$C$6*12,0,C374-E374)</f>
        <v/>
      </c>
      <c r="E374" s="20">
        <f>IF(B374&gt;$C$6*12,0,F373*$C$8/12)</f>
        <v/>
      </c>
      <c r="F374" s="20">
        <f>IF(B374&gt;$C$6*12,0,MAX(0,F373-D374))</f>
        <v/>
      </c>
    </row>
    <row r="375">
      <c r="B375" s="30" t="n">
        <v>360</v>
      </c>
      <c r="C375" s="20">
        <f>IF(B375&gt;$C$6*12,0,$C$10)</f>
        <v/>
      </c>
      <c r="D375" s="20">
        <f>IF(B375&gt;$C$6*12,0,C375-E375)</f>
        <v/>
      </c>
      <c r="E375" s="20">
        <f>IF(B375&gt;$C$6*12,0,F374*$C$8/12)</f>
        <v/>
      </c>
      <c r="F375" s="20">
        <f>IF(B375&gt;$C$6*12,0,MAX(0,F374-D375))</f>
        <v/>
      </c>
    </row>
  </sheetData>
  <sheetProtection selectLockedCells="0" selectUnlockedCells="0" sheet="1" objects="0" insertRows="1" insertHyperlinks="1" autoFilter="1" scenarios="0" formatColumns="1" deleteColumns="1" insertColumns="1" pivotTables="1" deleteRows="1" formatCells="1" formatRows="1" sort="1" password="CE4B"/>
  <mergeCells count="2">
    <mergeCell ref="A2:G2"/>
    <mergeCell ref="A1:G1"/>
  </mergeCells>
  <pageMargins left="0.75" right="0.75" top="1" bottom="1" header="0.5" footer="0.5"/>
</worksheet>
</file>

<file path=xl/worksheets/sheet6.xml><?xml version="1.0" encoding="utf-8"?>
<worksheet xmlns="http://schemas.openxmlformats.org/spreadsheetml/2006/main">
  <sheetPr>
    <tabColor rgb="0000695C"/>
    <outlinePr summaryBelow="1" summaryRight="1"/>
    <pageSetUpPr/>
  </sheetPr>
  <dimension ref="A1:G113"/>
  <sheetViews>
    <sheetView workbookViewId="0">
      <selection activeCell="A1" sqref="A1"/>
    </sheetView>
  </sheetViews>
  <sheetFormatPr baseColWidth="8" defaultRowHeight="15"/>
  <cols>
    <col width="5" customWidth="1" min="1" max="1"/>
    <col width="30" customWidth="1" min="2" max="2"/>
    <col width="22" customWidth="1" min="3" max="3"/>
    <col width="5" customWidth="1" min="4" max="4"/>
    <col width="18" customWidth="1" min="5" max="5"/>
    <col width="18" customWidth="1" min="6" max="6"/>
    <col width="18" customWidth="1" min="7" max="7"/>
    <col width="18" customWidth="1" min="8" max="8"/>
    <col width="18" customWidth="1" min="9" max="9"/>
  </cols>
  <sheetData>
    <row r="1" ht="30" customHeight="1">
      <c r="A1" s="1" t="inlineStr">
        <is>
          <t>Vehicle Loan Calculator</t>
        </is>
      </c>
    </row>
    <row r="2" ht="20" customHeight="1">
      <c r="A2" s="2" t="inlineStr">
        <is>
          <t>Enter vehicle details. Monthly repayment uses Prime + Vehicle Margin from Settings. Depreciation estimate included.</t>
        </is>
      </c>
    </row>
    <row r="4">
      <c r="B4" s="23" t="inlineStr">
        <is>
          <t>Vehicle Purchase Price</t>
        </is>
      </c>
      <c r="C4" s="15" t="n">
        <v>450000</v>
      </c>
    </row>
    <row r="5">
      <c r="B5" s="23" t="inlineStr">
        <is>
          <t>Loan Amount</t>
        </is>
      </c>
      <c r="C5" s="15" t="n">
        <v>400000</v>
      </c>
    </row>
    <row r="6">
      <c r="B6" s="23" t="inlineStr">
        <is>
          <t>Loan Term (years)</t>
        </is>
      </c>
      <c r="C6" s="28" t="n">
        <v>5</v>
      </c>
    </row>
    <row r="7">
      <c r="B7" s="23" t="inlineStr">
        <is>
          <t>Start Date</t>
        </is>
      </c>
      <c r="C7" s="18" t="n">
        <v>45292</v>
      </c>
    </row>
    <row r="8">
      <c r="B8" s="23" t="inlineStr">
        <is>
          <t>Annual Depreciation Rate (%)</t>
        </is>
      </c>
      <c r="C8" s="25" t="n">
        <v>0.15</v>
      </c>
    </row>
    <row r="9">
      <c r="B9" s="23" t="inlineStr">
        <is>
          <t>Interest Rate (Prime + Margin)</t>
        </is>
      </c>
      <c r="C9" s="22">
        <f>EffectiveVehicleLoanRate</f>
        <v/>
      </c>
    </row>
    <row r="11">
      <c r="B11" s="23" t="inlineStr">
        <is>
          <t>Monthly Repayment</t>
        </is>
      </c>
      <c r="C11" s="29">
        <f>-PMT(C9/12,C6*12,C5)</f>
        <v/>
      </c>
    </row>
    <row r="12">
      <c r="B12" s="23" t="inlineStr">
        <is>
          <t>Total Interest Payable</t>
        </is>
      </c>
      <c r="C12" s="20">
        <f>C11*C6*12-C5</f>
        <v/>
      </c>
    </row>
    <row r="13">
      <c r="B13" s="23" t="inlineStr">
        <is>
          <t>Total Cost of Vehicle</t>
        </is>
      </c>
      <c r="C13" s="20">
        <f>C5+C12</f>
        <v/>
      </c>
    </row>
    <row r="15">
      <c r="B15" s="11" t="inlineStr">
        <is>
          <t>DEPRECIATION SCHEDULE</t>
        </is>
      </c>
    </row>
    <row r="16">
      <c r="B16" s="16" t="inlineStr">
        <is>
          <t>Year</t>
        </is>
      </c>
      <c r="C16" s="16" t="inlineStr">
        <is>
          <t>Estimated Value</t>
        </is>
      </c>
      <c r="D16" s="16" t="inlineStr">
        <is>
          <t>Depreciation Amount</t>
        </is>
      </c>
    </row>
    <row r="17">
      <c r="B17" s="14" t="n">
        <v>1</v>
      </c>
      <c r="C17" s="20">
        <f>$C$4*(1-$C$8)^B17</f>
        <v/>
      </c>
      <c r="D17" s="20">
        <f>$C$4-C17</f>
        <v/>
      </c>
    </row>
    <row r="18">
      <c r="B18" s="14" t="n">
        <v>2</v>
      </c>
      <c r="C18" s="20">
        <f>$C$4*(1-$C$8)^B18</f>
        <v/>
      </c>
      <c r="D18" s="20">
        <f>C17-C18</f>
        <v/>
      </c>
    </row>
    <row r="19">
      <c r="B19" s="14" t="n">
        <v>3</v>
      </c>
      <c r="C19" s="20">
        <f>$C$4*(1-$C$8)^B19</f>
        <v/>
      </c>
      <c r="D19" s="20">
        <f>C18-C19</f>
        <v/>
      </c>
    </row>
    <row r="20">
      <c r="B20" s="14" t="n">
        <v>4</v>
      </c>
      <c r="C20" s="20">
        <f>$C$4*(1-$C$8)^B20</f>
        <v/>
      </c>
      <c r="D20" s="20">
        <f>C19-C20</f>
        <v/>
      </c>
    </row>
    <row r="21">
      <c r="B21" s="14" t="n">
        <v>5</v>
      </c>
      <c r="C21" s="20">
        <f>$C$4*(1-$C$8)^B21</f>
        <v/>
      </c>
      <c r="D21" s="20">
        <f>C20-C21</f>
        <v/>
      </c>
    </row>
    <row r="22">
      <c r="B22" s="14" t="n">
        <v>6</v>
      </c>
      <c r="C22" s="20">
        <f>$C$4*(1-$C$8)^B22</f>
        <v/>
      </c>
      <c r="D22" s="20">
        <f>C21-C22</f>
        <v/>
      </c>
    </row>
    <row r="23">
      <c r="B23" s="14" t="n">
        <v>7</v>
      </c>
      <c r="C23" s="20">
        <f>$C$4*(1-$C$8)^B23</f>
        <v/>
      </c>
      <c r="D23" s="20">
        <f>C22-C23</f>
        <v/>
      </c>
    </row>
    <row r="24">
      <c r="B24" s="14" t="n">
        <v>8</v>
      </c>
      <c r="C24" s="20">
        <f>$C$4*(1-$C$8)^B24</f>
        <v/>
      </c>
      <c r="D24" s="20">
        <f>C23-C24</f>
        <v/>
      </c>
    </row>
    <row r="25">
      <c r="B25" s="14" t="n">
        <v>9</v>
      </c>
      <c r="C25" s="20">
        <f>$C$4*(1-$C$8)^B25</f>
        <v/>
      </c>
      <c r="D25" s="20">
        <f>C24-C25</f>
        <v/>
      </c>
    </row>
    <row r="26">
      <c r="B26" s="14" t="n">
        <v>10</v>
      </c>
      <c r="C26" s="20">
        <f>$C$4*(1-$C$8)^B26</f>
        <v/>
      </c>
      <c r="D26" s="20">
        <f>C25-C26</f>
        <v/>
      </c>
    </row>
    <row r="28">
      <c r="B28" s="11" t="inlineStr">
        <is>
          <t>LOAN AMORTIZATION SCHEDULE</t>
        </is>
      </c>
    </row>
    <row r="29">
      <c r="B29" s="16" t="inlineStr">
        <is>
          <t>Month</t>
        </is>
      </c>
      <c r="C29" s="16" t="inlineStr">
        <is>
          <t>Payment</t>
        </is>
      </c>
      <c r="D29" s="16" t="inlineStr">
        <is>
          <t>Principal</t>
        </is>
      </c>
      <c r="E29" s="16" t="inlineStr">
        <is>
          <t>Interest</t>
        </is>
      </c>
      <c r="F29" s="16" t="inlineStr">
        <is>
          <t>Balance</t>
        </is>
      </c>
    </row>
    <row r="30">
      <c r="B30" s="14" t="n">
        <v>1</v>
      </c>
      <c r="C30" s="20">
        <f>IF(B30&gt;$C$6*12,0,$C$11)</f>
        <v/>
      </c>
      <c r="D30" s="20">
        <f>IF(B30&gt;$C$6*12,0,C30-E30)</f>
        <v/>
      </c>
      <c r="E30" s="20">
        <f>IF(B30&gt;$C$6*12,0,$C$5*$C$9/12)</f>
        <v/>
      </c>
      <c r="F30" s="20">
        <f>IF(B30&gt;$C$6*12,0,$C$5-D30)</f>
        <v/>
      </c>
    </row>
    <row r="31">
      <c r="B31" s="14" t="n">
        <v>2</v>
      </c>
      <c r="C31" s="20">
        <f>IF(B31&gt;$C$6*12,0,$C$11)</f>
        <v/>
      </c>
      <c r="D31" s="20">
        <f>IF(B31&gt;$C$6*12,0,C31-E31)</f>
        <v/>
      </c>
      <c r="E31" s="20">
        <f>IF(B31&gt;$C$6*12,0,F30*$C$9/12)</f>
        <v/>
      </c>
      <c r="F31" s="20">
        <f>IF(B31&gt;$C$6*12,0,MAX(0,F30-D31))</f>
        <v/>
      </c>
    </row>
    <row r="32">
      <c r="B32" s="14" t="n">
        <v>3</v>
      </c>
      <c r="C32" s="20">
        <f>IF(B32&gt;$C$6*12,0,$C$11)</f>
        <v/>
      </c>
      <c r="D32" s="20">
        <f>IF(B32&gt;$C$6*12,0,C32-E32)</f>
        <v/>
      </c>
      <c r="E32" s="20">
        <f>IF(B32&gt;$C$6*12,0,F31*$C$9/12)</f>
        <v/>
      </c>
      <c r="F32" s="20">
        <f>IF(B32&gt;$C$6*12,0,MAX(0,F31-D32))</f>
        <v/>
      </c>
    </row>
    <row r="33">
      <c r="B33" s="14" t="n">
        <v>4</v>
      </c>
      <c r="C33" s="20">
        <f>IF(B33&gt;$C$6*12,0,$C$11)</f>
        <v/>
      </c>
      <c r="D33" s="20">
        <f>IF(B33&gt;$C$6*12,0,C33-E33)</f>
        <v/>
      </c>
      <c r="E33" s="20">
        <f>IF(B33&gt;$C$6*12,0,F32*$C$9/12)</f>
        <v/>
      </c>
      <c r="F33" s="20">
        <f>IF(B33&gt;$C$6*12,0,MAX(0,F32-D33))</f>
        <v/>
      </c>
    </row>
    <row r="34">
      <c r="B34" s="14" t="n">
        <v>5</v>
      </c>
      <c r="C34" s="20">
        <f>IF(B34&gt;$C$6*12,0,$C$11)</f>
        <v/>
      </c>
      <c r="D34" s="20">
        <f>IF(B34&gt;$C$6*12,0,C34-E34)</f>
        <v/>
      </c>
      <c r="E34" s="20">
        <f>IF(B34&gt;$C$6*12,0,F33*$C$9/12)</f>
        <v/>
      </c>
      <c r="F34" s="20">
        <f>IF(B34&gt;$C$6*12,0,MAX(0,F33-D34))</f>
        <v/>
      </c>
    </row>
    <row r="35">
      <c r="B35" s="14" t="n">
        <v>6</v>
      </c>
      <c r="C35" s="20">
        <f>IF(B35&gt;$C$6*12,0,$C$11)</f>
        <v/>
      </c>
      <c r="D35" s="20">
        <f>IF(B35&gt;$C$6*12,0,C35-E35)</f>
        <v/>
      </c>
      <c r="E35" s="20">
        <f>IF(B35&gt;$C$6*12,0,F34*$C$9/12)</f>
        <v/>
      </c>
      <c r="F35" s="20">
        <f>IF(B35&gt;$C$6*12,0,MAX(0,F34-D35))</f>
        <v/>
      </c>
    </row>
    <row r="36">
      <c r="B36" s="14" t="n">
        <v>7</v>
      </c>
      <c r="C36" s="20">
        <f>IF(B36&gt;$C$6*12,0,$C$11)</f>
        <v/>
      </c>
      <c r="D36" s="20">
        <f>IF(B36&gt;$C$6*12,0,C36-E36)</f>
        <v/>
      </c>
      <c r="E36" s="20">
        <f>IF(B36&gt;$C$6*12,0,F35*$C$9/12)</f>
        <v/>
      </c>
      <c r="F36" s="20">
        <f>IF(B36&gt;$C$6*12,0,MAX(0,F35-D36))</f>
        <v/>
      </c>
    </row>
    <row r="37">
      <c r="B37" s="14" t="n">
        <v>8</v>
      </c>
      <c r="C37" s="20">
        <f>IF(B37&gt;$C$6*12,0,$C$11)</f>
        <v/>
      </c>
      <c r="D37" s="20">
        <f>IF(B37&gt;$C$6*12,0,C37-E37)</f>
        <v/>
      </c>
      <c r="E37" s="20">
        <f>IF(B37&gt;$C$6*12,0,F36*$C$9/12)</f>
        <v/>
      </c>
      <c r="F37" s="20">
        <f>IF(B37&gt;$C$6*12,0,MAX(0,F36-D37))</f>
        <v/>
      </c>
    </row>
    <row r="38">
      <c r="B38" s="14" t="n">
        <v>9</v>
      </c>
      <c r="C38" s="20">
        <f>IF(B38&gt;$C$6*12,0,$C$11)</f>
        <v/>
      </c>
      <c r="D38" s="20">
        <f>IF(B38&gt;$C$6*12,0,C38-E38)</f>
        <v/>
      </c>
      <c r="E38" s="20">
        <f>IF(B38&gt;$C$6*12,0,F37*$C$9/12)</f>
        <v/>
      </c>
      <c r="F38" s="20">
        <f>IF(B38&gt;$C$6*12,0,MAX(0,F37-D38))</f>
        <v/>
      </c>
    </row>
    <row r="39">
      <c r="B39" s="14" t="n">
        <v>10</v>
      </c>
      <c r="C39" s="20">
        <f>IF(B39&gt;$C$6*12,0,$C$11)</f>
        <v/>
      </c>
      <c r="D39" s="20">
        <f>IF(B39&gt;$C$6*12,0,C39-E39)</f>
        <v/>
      </c>
      <c r="E39" s="20">
        <f>IF(B39&gt;$C$6*12,0,F38*$C$9/12)</f>
        <v/>
      </c>
      <c r="F39" s="20">
        <f>IF(B39&gt;$C$6*12,0,MAX(0,F38-D39))</f>
        <v/>
      </c>
    </row>
    <row r="40">
      <c r="B40" s="14" t="n">
        <v>11</v>
      </c>
      <c r="C40" s="20">
        <f>IF(B40&gt;$C$6*12,0,$C$11)</f>
        <v/>
      </c>
      <c r="D40" s="20">
        <f>IF(B40&gt;$C$6*12,0,C40-E40)</f>
        <v/>
      </c>
      <c r="E40" s="20">
        <f>IF(B40&gt;$C$6*12,0,F39*$C$9/12)</f>
        <v/>
      </c>
      <c r="F40" s="20">
        <f>IF(B40&gt;$C$6*12,0,MAX(0,F39-D40))</f>
        <v/>
      </c>
    </row>
    <row r="41">
      <c r="B41" s="14" t="n">
        <v>12</v>
      </c>
      <c r="C41" s="20">
        <f>IF(B41&gt;$C$6*12,0,$C$11)</f>
        <v/>
      </c>
      <c r="D41" s="20">
        <f>IF(B41&gt;$C$6*12,0,C41-E41)</f>
        <v/>
      </c>
      <c r="E41" s="20">
        <f>IF(B41&gt;$C$6*12,0,F40*$C$9/12)</f>
        <v/>
      </c>
      <c r="F41" s="20">
        <f>IF(B41&gt;$C$6*12,0,MAX(0,F40-D41))</f>
        <v/>
      </c>
    </row>
    <row r="42">
      <c r="B42" s="14" t="n">
        <v>13</v>
      </c>
      <c r="C42" s="20">
        <f>IF(B42&gt;$C$6*12,0,$C$11)</f>
        <v/>
      </c>
      <c r="D42" s="20">
        <f>IF(B42&gt;$C$6*12,0,C42-E42)</f>
        <v/>
      </c>
      <c r="E42" s="20">
        <f>IF(B42&gt;$C$6*12,0,F41*$C$9/12)</f>
        <v/>
      </c>
      <c r="F42" s="20">
        <f>IF(B42&gt;$C$6*12,0,MAX(0,F41-D42))</f>
        <v/>
      </c>
    </row>
    <row r="43">
      <c r="B43" s="14" t="n">
        <v>14</v>
      </c>
      <c r="C43" s="20">
        <f>IF(B43&gt;$C$6*12,0,$C$11)</f>
        <v/>
      </c>
      <c r="D43" s="20">
        <f>IF(B43&gt;$C$6*12,0,C43-E43)</f>
        <v/>
      </c>
      <c r="E43" s="20">
        <f>IF(B43&gt;$C$6*12,0,F42*$C$9/12)</f>
        <v/>
      </c>
      <c r="F43" s="20">
        <f>IF(B43&gt;$C$6*12,0,MAX(0,F42-D43))</f>
        <v/>
      </c>
    </row>
    <row r="44">
      <c r="B44" s="14" t="n">
        <v>15</v>
      </c>
      <c r="C44" s="20">
        <f>IF(B44&gt;$C$6*12,0,$C$11)</f>
        <v/>
      </c>
      <c r="D44" s="20">
        <f>IF(B44&gt;$C$6*12,0,C44-E44)</f>
        <v/>
      </c>
      <c r="E44" s="20">
        <f>IF(B44&gt;$C$6*12,0,F43*$C$9/12)</f>
        <v/>
      </c>
      <c r="F44" s="20">
        <f>IF(B44&gt;$C$6*12,0,MAX(0,F43-D44))</f>
        <v/>
      </c>
    </row>
    <row r="45">
      <c r="B45" s="14" t="n">
        <v>16</v>
      </c>
      <c r="C45" s="20">
        <f>IF(B45&gt;$C$6*12,0,$C$11)</f>
        <v/>
      </c>
      <c r="D45" s="20">
        <f>IF(B45&gt;$C$6*12,0,C45-E45)</f>
        <v/>
      </c>
      <c r="E45" s="20">
        <f>IF(B45&gt;$C$6*12,0,F44*$C$9/12)</f>
        <v/>
      </c>
      <c r="F45" s="20">
        <f>IF(B45&gt;$C$6*12,0,MAX(0,F44-D45))</f>
        <v/>
      </c>
    </row>
    <row r="46">
      <c r="B46" s="14" t="n">
        <v>17</v>
      </c>
      <c r="C46" s="20">
        <f>IF(B46&gt;$C$6*12,0,$C$11)</f>
        <v/>
      </c>
      <c r="D46" s="20">
        <f>IF(B46&gt;$C$6*12,0,C46-E46)</f>
        <v/>
      </c>
      <c r="E46" s="20">
        <f>IF(B46&gt;$C$6*12,0,F45*$C$9/12)</f>
        <v/>
      </c>
      <c r="F46" s="20">
        <f>IF(B46&gt;$C$6*12,0,MAX(0,F45-D46))</f>
        <v/>
      </c>
    </row>
    <row r="47">
      <c r="B47" s="14" t="n">
        <v>18</v>
      </c>
      <c r="C47" s="20">
        <f>IF(B47&gt;$C$6*12,0,$C$11)</f>
        <v/>
      </c>
      <c r="D47" s="20">
        <f>IF(B47&gt;$C$6*12,0,C47-E47)</f>
        <v/>
      </c>
      <c r="E47" s="20">
        <f>IF(B47&gt;$C$6*12,0,F46*$C$9/12)</f>
        <v/>
      </c>
      <c r="F47" s="20">
        <f>IF(B47&gt;$C$6*12,0,MAX(0,F46-D47))</f>
        <v/>
      </c>
    </row>
    <row r="48">
      <c r="B48" s="14" t="n">
        <v>19</v>
      </c>
      <c r="C48" s="20">
        <f>IF(B48&gt;$C$6*12,0,$C$11)</f>
        <v/>
      </c>
      <c r="D48" s="20">
        <f>IF(B48&gt;$C$6*12,0,C48-E48)</f>
        <v/>
      </c>
      <c r="E48" s="20">
        <f>IF(B48&gt;$C$6*12,0,F47*$C$9/12)</f>
        <v/>
      </c>
      <c r="F48" s="20">
        <f>IF(B48&gt;$C$6*12,0,MAX(0,F47-D48))</f>
        <v/>
      </c>
    </row>
    <row r="49">
      <c r="B49" s="14" t="n">
        <v>20</v>
      </c>
      <c r="C49" s="20">
        <f>IF(B49&gt;$C$6*12,0,$C$11)</f>
        <v/>
      </c>
      <c r="D49" s="20">
        <f>IF(B49&gt;$C$6*12,0,C49-E49)</f>
        <v/>
      </c>
      <c r="E49" s="20">
        <f>IF(B49&gt;$C$6*12,0,F48*$C$9/12)</f>
        <v/>
      </c>
      <c r="F49" s="20">
        <f>IF(B49&gt;$C$6*12,0,MAX(0,F48-D49))</f>
        <v/>
      </c>
    </row>
    <row r="50">
      <c r="B50" s="14" t="n">
        <v>21</v>
      </c>
      <c r="C50" s="20">
        <f>IF(B50&gt;$C$6*12,0,$C$11)</f>
        <v/>
      </c>
      <c r="D50" s="20">
        <f>IF(B50&gt;$C$6*12,0,C50-E50)</f>
        <v/>
      </c>
      <c r="E50" s="20">
        <f>IF(B50&gt;$C$6*12,0,F49*$C$9/12)</f>
        <v/>
      </c>
      <c r="F50" s="20">
        <f>IF(B50&gt;$C$6*12,0,MAX(0,F49-D50))</f>
        <v/>
      </c>
    </row>
    <row r="51">
      <c r="B51" s="14" t="n">
        <v>22</v>
      </c>
      <c r="C51" s="20">
        <f>IF(B51&gt;$C$6*12,0,$C$11)</f>
        <v/>
      </c>
      <c r="D51" s="20">
        <f>IF(B51&gt;$C$6*12,0,C51-E51)</f>
        <v/>
      </c>
      <c r="E51" s="20">
        <f>IF(B51&gt;$C$6*12,0,F50*$C$9/12)</f>
        <v/>
      </c>
      <c r="F51" s="20">
        <f>IF(B51&gt;$C$6*12,0,MAX(0,F50-D51))</f>
        <v/>
      </c>
    </row>
    <row r="52">
      <c r="B52" s="14" t="n">
        <v>23</v>
      </c>
      <c r="C52" s="20">
        <f>IF(B52&gt;$C$6*12,0,$C$11)</f>
        <v/>
      </c>
      <c r="D52" s="20">
        <f>IF(B52&gt;$C$6*12,0,C52-E52)</f>
        <v/>
      </c>
      <c r="E52" s="20">
        <f>IF(B52&gt;$C$6*12,0,F51*$C$9/12)</f>
        <v/>
      </c>
      <c r="F52" s="20">
        <f>IF(B52&gt;$C$6*12,0,MAX(0,F51-D52))</f>
        <v/>
      </c>
    </row>
    <row r="53">
      <c r="B53" s="14" t="n">
        <v>24</v>
      </c>
      <c r="C53" s="20">
        <f>IF(B53&gt;$C$6*12,0,$C$11)</f>
        <v/>
      </c>
      <c r="D53" s="20">
        <f>IF(B53&gt;$C$6*12,0,C53-E53)</f>
        <v/>
      </c>
      <c r="E53" s="20">
        <f>IF(B53&gt;$C$6*12,0,F52*$C$9/12)</f>
        <v/>
      </c>
      <c r="F53" s="20">
        <f>IF(B53&gt;$C$6*12,0,MAX(0,F52-D53))</f>
        <v/>
      </c>
    </row>
    <row r="54">
      <c r="B54" s="14" t="n">
        <v>25</v>
      </c>
      <c r="C54" s="20">
        <f>IF(B54&gt;$C$6*12,0,$C$11)</f>
        <v/>
      </c>
      <c r="D54" s="20">
        <f>IF(B54&gt;$C$6*12,0,C54-E54)</f>
        <v/>
      </c>
      <c r="E54" s="20">
        <f>IF(B54&gt;$C$6*12,0,F53*$C$9/12)</f>
        <v/>
      </c>
      <c r="F54" s="20">
        <f>IF(B54&gt;$C$6*12,0,MAX(0,F53-D54))</f>
        <v/>
      </c>
    </row>
    <row r="55">
      <c r="B55" s="14" t="n">
        <v>26</v>
      </c>
      <c r="C55" s="20">
        <f>IF(B55&gt;$C$6*12,0,$C$11)</f>
        <v/>
      </c>
      <c r="D55" s="20">
        <f>IF(B55&gt;$C$6*12,0,C55-E55)</f>
        <v/>
      </c>
      <c r="E55" s="20">
        <f>IF(B55&gt;$C$6*12,0,F54*$C$9/12)</f>
        <v/>
      </c>
      <c r="F55" s="20">
        <f>IF(B55&gt;$C$6*12,0,MAX(0,F54-D55))</f>
        <v/>
      </c>
    </row>
    <row r="56">
      <c r="B56" s="14" t="n">
        <v>27</v>
      </c>
      <c r="C56" s="20">
        <f>IF(B56&gt;$C$6*12,0,$C$11)</f>
        <v/>
      </c>
      <c r="D56" s="20">
        <f>IF(B56&gt;$C$6*12,0,C56-E56)</f>
        <v/>
      </c>
      <c r="E56" s="20">
        <f>IF(B56&gt;$C$6*12,0,F55*$C$9/12)</f>
        <v/>
      </c>
      <c r="F56" s="20">
        <f>IF(B56&gt;$C$6*12,0,MAX(0,F55-D56))</f>
        <v/>
      </c>
    </row>
    <row r="57">
      <c r="B57" s="14" t="n">
        <v>28</v>
      </c>
      <c r="C57" s="20">
        <f>IF(B57&gt;$C$6*12,0,$C$11)</f>
        <v/>
      </c>
      <c r="D57" s="20">
        <f>IF(B57&gt;$C$6*12,0,C57-E57)</f>
        <v/>
      </c>
      <c r="E57" s="20">
        <f>IF(B57&gt;$C$6*12,0,F56*$C$9/12)</f>
        <v/>
      </c>
      <c r="F57" s="20">
        <f>IF(B57&gt;$C$6*12,0,MAX(0,F56-D57))</f>
        <v/>
      </c>
    </row>
    <row r="58">
      <c r="B58" s="14" t="n">
        <v>29</v>
      </c>
      <c r="C58" s="20">
        <f>IF(B58&gt;$C$6*12,0,$C$11)</f>
        <v/>
      </c>
      <c r="D58" s="20">
        <f>IF(B58&gt;$C$6*12,0,C58-E58)</f>
        <v/>
      </c>
      <c r="E58" s="20">
        <f>IF(B58&gt;$C$6*12,0,F57*$C$9/12)</f>
        <v/>
      </c>
      <c r="F58" s="20">
        <f>IF(B58&gt;$C$6*12,0,MAX(0,F57-D58))</f>
        <v/>
      </c>
    </row>
    <row r="59">
      <c r="B59" s="14" t="n">
        <v>30</v>
      </c>
      <c r="C59" s="20">
        <f>IF(B59&gt;$C$6*12,0,$C$11)</f>
        <v/>
      </c>
      <c r="D59" s="20">
        <f>IF(B59&gt;$C$6*12,0,C59-E59)</f>
        <v/>
      </c>
      <c r="E59" s="20">
        <f>IF(B59&gt;$C$6*12,0,F58*$C$9/12)</f>
        <v/>
      </c>
      <c r="F59" s="20">
        <f>IF(B59&gt;$C$6*12,0,MAX(0,F58-D59))</f>
        <v/>
      </c>
    </row>
    <row r="60">
      <c r="B60" s="14" t="n">
        <v>31</v>
      </c>
      <c r="C60" s="20">
        <f>IF(B60&gt;$C$6*12,0,$C$11)</f>
        <v/>
      </c>
      <c r="D60" s="20">
        <f>IF(B60&gt;$C$6*12,0,C60-E60)</f>
        <v/>
      </c>
      <c r="E60" s="20">
        <f>IF(B60&gt;$C$6*12,0,F59*$C$9/12)</f>
        <v/>
      </c>
      <c r="F60" s="20">
        <f>IF(B60&gt;$C$6*12,0,MAX(0,F59-D60))</f>
        <v/>
      </c>
    </row>
    <row r="61">
      <c r="B61" s="14" t="n">
        <v>32</v>
      </c>
      <c r="C61" s="20">
        <f>IF(B61&gt;$C$6*12,0,$C$11)</f>
        <v/>
      </c>
      <c r="D61" s="20">
        <f>IF(B61&gt;$C$6*12,0,C61-E61)</f>
        <v/>
      </c>
      <c r="E61" s="20">
        <f>IF(B61&gt;$C$6*12,0,F60*$C$9/12)</f>
        <v/>
      </c>
      <c r="F61" s="20">
        <f>IF(B61&gt;$C$6*12,0,MAX(0,F60-D61))</f>
        <v/>
      </c>
    </row>
    <row r="62">
      <c r="B62" s="14" t="n">
        <v>33</v>
      </c>
      <c r="C62" s="20">
        <f>IF(B62&gt;$C$6*12,0,$C$11)</f>
        <v/>
      </c>
      <c r="D62" s="20">
        <f>IF(B62&gt;$C$6*12,0,C62-E62)</f>
        <v/>
      </c>
      <c r="E62" s="20">
        <f>IF(B62&gt;$C$6*12,0,F61*$C$9/12)</f>
        <v/>
      </c>
      <c r="F62" s="20">
        <f>IF(B62&gt;$C$6*12,0,MAX(0,F61-D62))</f>
        <v/>
      </c>
    </row>
    <row r="63">
      <c r="B63" s="14" t="n">
        <v>34</v>
      </c>
      <c r="C63" s="20">
        <f>IF(B63&gt;$C$6*12,0,$C$11)</f>
        <v/>
      </c>
      <c r="D63" s="20">
        <f>IF(B63&gt;$C$6*12,0,C63-E63)</f>
        <v/>
      </c>
      <c r="E63" s="20">
        <f>IF(B63&gt;$C$6*12,0,F62*$C$9/12)</f>
        <v/>
      </c>
      <c r="F63" s="20">
        <f>IF(B63&gt;$C$6*12,0,MAX(0,F62-D63))</f>
        <v/>
      </c>
    </row>
    <row r="64">
      <c r="B64" s="14" t="n">
        <v>35</v>
      </c>
      <c r="C64" s="20">
        <f>IF(B64&gt;$C$6*12,0,$C$11)</f>
        <v/>
      </c>
      <c r="D64" s="20">
        <f>IF(B64&gt;$C$6*12,0,C64-E64)</f>
        <v/>
      </c>
      <c r="E64" s="20">
        <f>IF(B64&gt;$C$6*12,0,F63*$C$9/12)</f>
        <v/>
      </c>
      <c r="F64" s="20">
        <f>IF(B64&gt;$C$6*12,0,MAX(0,F63-D64))</f>
        <v/>
      </c>
    </row>
    <row r="65">
      <c r="B65" s="14" t="n">
        <v>36</v>
      </c>
      <c r="C65" s="20">
        <f>IF(B65&gt;$C$6*12,0,$C$11)</f>
        <v/>
      </c>
      <c r="D65" s="20">
        <f>IF(B65&gt;$C$6*12,0,C65-E65)</f>
        <v/>
      </c>
      <c r="E65" s="20">
        <f>IF(B65&gt;$C$6*12,0,F64*$C$9/12)</f>
        <v/>
      </c>
      <c r="F65" s="20">
        <f>IF(B65&gt;$C$6*12,0,MAX(0,F64-D65))</f>
        <v/>
      </c>
    </row>
    <row r="66">
      <c r="B66" s="14" t="n">
        <v>37</v>
      </c>
      <c r="C66" s="20">
        <f>IF(B66&gt;$C$6*12,0,$C$11)</f>
        <v/>
      </c>
      <c r="D66" s="20">
        <f>IF(B66&gt;$C$6*12,0,C66-E66)</f>
        <v/>
      </c>
      <c r="E66" s="20">
        <f>IF(B66&gt;$C$6*12,0,F65*$C$9/12)</f>
        <v/>
      </c>
      <c r="F66" s="20">
        <f>IF(B66&gt;$C$6*12,0,MAX(0,F65-D66))</f>
        <v/>
      </c>
    </row>
    <row r="67">
      <c r="B67" s="14" t="n">
        <v>38</v>
      </c>
      <c r="C67" s="20">
        <f>IF(B67&gt;$C$6*12,0,$C$11)</f>
        <v/>
      </c>
      <c r="D67" s="20">
        <f>IF(B67&gt;$C$6*12,0,C67-E67)</f>
        <v/>
      </c>
      <c r="E67" s="20">
        <f>IF(B67&gt;$C$6*12,0,F66*$C$9/12)</f>
        <v/>
      </c>
      <c r="F67" s="20">
        <f>IF(B67&gt;$C$6*12,0,MAX(0,F66-D67))</f>
        <v/>
      </c>
    </row>
    <row r="68">
      <c r="B68" s="14" t="n">
        <v>39</v>
      </c>
      <c r="C68" s="20">
        <f>IF(B68&gt;$C$6*12,0,$C$11)</f>
        <v/>
      </c>
      <c r="D68" s="20">
        <f>IF(B68&gt;$C$6*12,0,C68-E68)</f>
        <v/>
      </c>
      <c r="E68" s="20">
        <f>IF(B68&gt;$C$6*12,0,F67*$C$9/12)</f>
        <v/>
      </c>
      <c r="F68" s="20">
        <f>IF(B68&gt;$C$6*12,0,MAX(0,F67-D68))</f>
        <v/>
      </c>
    </row>
    <row r="69">
      <c r="B69" s="14" t="n">
        <v>40</v>
      </c>
      <c r="C69" s="20">
        <f>IF(B69&gt;$C$6*12,0,$C$11)</f>
        <v/>
      </c>
      <c r="D69" s="20">
        <f>IF(B69&gt;$C$6*12,0,C69-E69)</f>
        <v/>
      </c>
      <c r="E69" s="20">
        <f>IF(B69&gt;$C$6*12,0,F68*$C$9/12)</f>
        <v/>
      </c>
      <c r="F69" s="20">
        <f>IF(B69&gt;$C$6*12,0,MAX(0,F68-D69))</f>
        <v/>
      </c>
    </row>
    <row r="70">
      <c r="B70" s="14" t="n">
        <v>41</v>
      </c>
      <c r="C70" s="20">
        <f>IF(B70&gt;$C$6*12,0,$C$11)</f>
        <v/>
      </c>
      <c r="D70" s="20">
        <f>IF(B70&gt;$C$6*12,0,C70-E70)</f>
        <v/>
      </c>
      <c r="E70" s="20">
        <f>IF(B70&gt;$C$6*12,0,F69*$C$9/12)</f>
        <v/>
      </c>
      <c r="F70" s="20">
        <f>IF(B70&gt;$C$6*12,0,MAX(0,F69-D70))</f>
        <v/>
      </c>
    </row>
    <row r="71">
      <c r="B71" s="14" t="n">
        <v>42</v>
      </c>
      <c r="C71" s="20">
        <f>IF(B71&gt;$C$6*12,0,$C$11)</f>
        <v/>
      </c>
      <c r="D71" s="20">
        <f>IF(B71&gt;$C$6*12,0,C71-E71)</f>
        <v/>
      </c>
      <c r="E71" s="20">
        <f>IF(B71&gt;$C$6*12,0,F70*$C$9/12)</f>
        <v/>
      </c>
      <c r="F71" s="20">
        <f>IF(B71&gt;$C$6*12,0,MAX(0,F70-D71))</f>
        <v/>
      </c>
    </row>
    <row r="72">
      <c r="B72" s="14" t="n">
        <v>43</v>
      </c>
      <c r="C72" s="20">
        <f>IF(B72&gt;$C$6*12,0,$C$11)</f>
        <v/>
      </c>
      <c r="D72" s="20">
        <f>IF(B72&gt;$C$6*12,0,C72-E72)</f>
        <v/>
      </c>
      <c r="E72" s="20">
        <f>IF(B72&gt;$C$6*12,0,F71*$C$9/12)</f>
        <v/>
      </c>
      <c r="F72" s="20">
        <f>IF(B72&gt;$C$6*12,0,MAX(0,F71-D72))</f>
        <v/>
      </c>
    </row>
    <row r="73">
      <c r="B73" s="14" t="n">
        <v>44</v>
      </c>
      <c r="C73" s="20">
        <f>IF(B73&gt;$C$6*12,0,$C$11)</f>
        <v/>
      </c>
      <c r="D73" s="20">
        <f>IF(B73&gt;$C$6*12,0,C73-E73)</f>
        <v/>
      </c>
      <c r="E73" s="20">
        <f>IF(B73&gt;$C$6*12,0,F72*$C$9/12)</f>
        <v/>
      </c>
      <c r="F73" s="20">
        <f>IF(B73&gt;$C$6*12,0,MAX(0,F72-D73))</f>
        <v/>
      </c>
    </row>
    <row r="74">
      <c r="B74" s="14" t="n">
        <v>45</v>
      </c>
      <c r="C74" s="20">
        <f>IF(B74&gt;$C$6*12,0,$C$11)</f>
        <v/>
      </c>
      <c r="D74" s="20">
        <f>IF(B74&gt;$C$6*12,0,C74-E74)</f>
        <v/>
      </c>
      <c r="E74" s="20">
        <f>IF(B74&gt;$C$6*12,0,F73*$C$9/12)</f>
        <v/>
      </c>
      <c r="F74" s="20">
        <f>IF(B74&gt;$C$6*12,0,MAX(0,F73-D74))</f>
        <v/>
      </c>
    </row>
    <row r="75">
      <c r="B75" s="14" t="n">
        <v>46</v>
      </c>
      <c r="C75" s="20">
        <f>IF(B75&gt;$C$6*12,0,$C$11)</f>
        <v/>
      </c>
      <c r="D75" s="20">
        <f>IF(B75&gt;$C$6*12,0,C75-E75)</f>
        <v/>
      </c>
      <c r="E75" s="20">
        <f>IF(B75&gt;$C$6*12,0,F74*$C$9/12)</f>
        <v/>
      </c>
      <c r="F75" s="20">
        <f>IF(B75&gt;$C$6*12,0,MAX(0,F74-D75))</f>
        <v/>
      </c>
    </row>
    <row r="76">
      <c r="B76" s="14" t="n">
        <v>47</v>
      </c>
      <c r="C76" s="20">
        <f>IF(B76&gt;$C$6*12,0,$C$11)</f>
        <v/>
      </c>
      <c r="D76" s="20">
        <f>IF(B76&gt;$C$6*12,0,C76-E76)</f>
        <v/>
      </c>
      <c r="E76" s="20">
        <f>IF(B76&gt;$C$6*12,0,F75*$C$9/12)</f>
        <v/>
      </c>
      <c r="F76" s="20">
        <f>IF(B76&gt;$C$6*12,0,MAX(0,F75-D76))</f>
        <v/>
      </c>
    </row>
    <row r="77">
      <c r="B77" s="14" t="n">
        <v>48</v>
      </c>
      <c r="C77" s="20">
        <f>IF(B77&gt;$C$6*12,0,$C$11)</f>
        <v/>
      </c>
      <c r="D77" s="20">
        <f>IF(B77&gt;$C$6*12,0,C77-E77)</f>
        <v/>
      </c>
      <c r="E77" s="20">
        <f>IF(B77&gt;$C$6*12,0,F76*$C$9/12)</f>
        <v/>
      </c>
      <c r="F77" s="20">
        <f>IF(B77&gt;$C$6*12,0,MAX(0,F76-D77))</f>
        <v/>
      </c>
    </row>
    <row r="78">
      <c r="B78" s="14" t="n">
        <v>49</v>
      </c>
      <c r="C78" s="20">
        <f>IF(B78&gt;$C$6*12,0,$C$11)</f>
        <v/>
      </c>
      <c r="D78" s="20">
        <f>IF(B78&gt;$C$6*12,0,C78-E78)</f>
        <v/>
      </c>
      <c r="E78" s="20">
        <f>IF(B78&gt;$C$6*12,0,F77*$C$9/12)</f>
        <v/>
      </c>
      <c r="F78" s="20">
        <f>IF(B78&gt;$C$6*12,0,MAX(0,F77-D78))</f>
        <v/>
      </c>
    </row>
    <row r="79">
      <c r="B79" s="14" t="n">
        <v>50</v>
      </c>
      <c r="C79" s="20">
        <f>IF(B79&gt;$C$6*12,0,$C$11)</f>
        <v/>
      </c>
      <c r="D79" s="20">
        <f>IF(B79&gt;$C$6*12,0,C79-E79)</f>
        <v/>
      </c>
      <c r="E79" s="20">
        <f>IF(B79&gt;$C$6*12,0,F78*$C$9/12)</f>
        <v/>
      </c>
      <c r="F79" s="20">
        <f>IF(B79&gt;$C$6*12,0,MAX(0,F78-D79))</f>
        <v/>
      </c>
    </row>
    <row r="80">
      <c r="B80" s="14" t="n">
        <v>51</v>
      </c>
      <c r="C80" s="20">
        <f>IF(B80&gt;$C$6*12,0,$C$11)</f>
        <v/>
      </c>
      <c r="D80" s="20">
        <f>IF(B80&gt;$C$6*12,0,C80-E80)</f>
        <v/>
      </c>
      <c r="E80" s="20">
        <f>IF(B80&gt;$C$6*12,0,F79*$C$9/12)</f>
        <v/>
      </c>
      <c r="F80" s="20">
        <f>IF(B80&gt;$C$6*12,0,MAX(0,F79-D80))</f>
        <v/>
      </c>
    </row>
    <row r="81">
      <c r="B81" s="14" t="n">
        <v>52</v>
      </c>
      <c r="C81" s="20">
        <f>IF(B81&gt;$C$6*12,0,$C$11)</f>
        <v/>
      </c>
      <c r="D81" s="20">
        <f>IF(B81&gt;$C$6*12,0,C81-E81)</f>
        <v/>
      </c>
      <c r="E81" s="20">
        <f>IF(B81&gt;$C$6*12,0,F80*$C$9/12)</f>
        <v/>
      </c>
      <c r="F81" s="20">
        <f>IF(B81&gt;$C$6*12,0,MAX(0,F80-D81))</f>
        <v/>
      </c>
    </row>
    <row r="82">
      <c r="B82" s="14" t="n">
        <v>53</v>
      </c>
      <c r="C82" s="20">
        <f>IF(B82&gt;$C$6*12,0,$C$11)</f>
        <v/>
      </c>
      <c r="D82" s="20">
        <f>IF(B82&gt;$C$6*12,0,C82-E82)</f>
        <v/>
      </c>
      <c r="E82" s="20">
        <f>IF(B82&gt;$C$6*12,0,F81*$C$9/12)</f>
        <v/>
      </c>
      <c r="F82" s="20">
        <f>IF(B82&gt;$C$6*12,0,MAX(0,F81-D82))</f>
        <v/>
      </c>
    </row>
    <row r="83">
      <c r="B83" s="14" t="n">
        <v>54</v>
      </c>
      <c r="C83" s="20">
        <f>IF(B83&gt;$C$6*12,0,$C$11)</f>
        <v/>
      </c>
      <c r="D83" s="20">
        <f>IF(B83&gt;$C$6*12,0,C83-E83)</f>
        <v/>
      </c>
      <c r="E83" s="20">
        <f>IF(B83&gt;$C$6*12,0,F82*$C$9/12)</f>
        <v/>
      </c>
      <c r="F83" s="20">
        <f>IF(B83&gt;$C$6*12,0,MAX(0,F82-D83))</f>
        <v/>
      </c>
    </row>
    <row r="84">
      <c r="B84" s="14" t="n">
        <v>55</v>
      </c>
      <c r="C84" s="20">
        <f>IF(B84&gt;$C$6*12,0,$C$11)</f>
        <v/>
      </c>
      <c r="D84" s="20">
        <f>IF(B84&gt;$C$6*12,0,C84-E84)</f>
        <v/>
      </c>
      <c r="E84" s="20">
        <f>IF(B84&gt;$C$6*12,0,F83*$C$9/12)</f>
        <v/>
      </c>
      <c r="F84" s="20">
        <f>IF(B84&gt;$C$6*12,0,MAX(0,F83-D84))</f>
        <v/>
      </c>
    </row>
    <row r="85">
      <c r="B85" s="14" t="n">
        <v>56</v>
      </c>
      <c r="C85" s="20">
        <f>IF(B85&gt;$C$6*12,0,$C$11)</f>
        <v/>
      </c>
      <c r="D85" s="20">
        <f>IF(B85&gt;$C$6*12,0,C85-E85)</f>
        <v/>
      </c>
      <c r="E85" s="20">
        <f>IF(B85&gt;$C$6*12,0,F84*$C$9/12)</f>
        <v/>
      </c>
      <c r="F85" s="20">
        <f>IF(B85&gt;$C$6*12,0,MAX(0,F84-D85))</f>
        <v/>
      </c>
    </row>
    <row r="86">
      <c r="B86" s="14" t="n">
        <v>57</v>
      </c>
      <c r="C86" s="20">
        <f>IF(B86&gt;$C$6*12,0,$C$11)</f>
        <v/>
      </c>
      <c r="D86" s="20">
        <f>IF(B86&gt;$C$6*12,0,C86-E86)</f>
        <v/>
      </c>
      <c r="E86" s="20">
        <f>IF(B86&gt;$C$6*12,0,F85*$C$9/12)</f>
        <v/>
      </c>
      <c r="F86" s="20">
        <f>IF(B86&gt;$C$6*12,0,MAX(0,F85-D86))</f>
        <v/>
      </c>
    </row>
    <row r="87">
      <c r="B87" s="14" t="n">
        <v>58</v>
      </c>
      <c r="C87" s="20">
        <f>IF(B87&gt;$C$6*12,0,$C$11)</f>
        <v/>
      </c>
      <c r="D87" s="20">
        <f>IF(B87&gt;$C$6*12,0,C87-E87)</f>
        <v/>
      </c>
      <c r="E87" s="20">
        <f>IF(B87&gt;$C$6*12,0,F86*$C$9/12)</f>
        <v/>
      </c>
      <c r="F87" s="20">
        <f>IF(B87&gt;$C$6*12,0,MAX(0,F86-D87))</f>
        <v/>
      </c>
    </row>
    <row r="88">
      <c r="B88" s="14" t="n">
        <v>59</v>
      </c>
      <c r="C88" s="20">
        <f>IF(B88&gt;$C$6*12,0,$C$11)</f>
        <v/>
      </c>
      <c r="D88" s="20">
        <f>IF(B88&gt;$C$6*12,0,C88-E88)</f>
        <v/>
      </c>
      <c r="E88" s="20">
        <f>IF(B88&gt;$C$6*12,0,F87*$C$9/12)</f>
        <v/>
      </c>
      <c r="F88" s="20">
        <f>IF(B88&gt;$C$6*12,0,MAX(0,F87-D88))</f>
        <v/>
      </c>
    </row>
    <row r="89">
      <c r="B89" s="14" t="n">
        <v>60</v>
      </c>
      <c r="C89" s="20">
        <f>IF(B89&gt;$C$6*12,0,$C$11)</f>
        <v/>
      </c>
      <c r="D89" s="20">
        <f>IF(B89&gt;$C$6*12,0,C89-E89)</f>
        <v/>
      </c>
      <c r="E89" s="20">
        <f>IF(B89&gt;$C$6*12,0,F88*$C$9/12)</f>
        <v/>
      </c>
      <c r="F89" s="20">
        <f>IF(B89&gt;$C$6*12,0,MAX(0,F88-D89))</f>
        <v/>
      </c>
    </row>
    <row r="90">
      <c r="B90" s="14" t="n">
        <v>61</v>
      </c>
      <c r="C90" s="20">
        <f>IF(B90&gt;$C$6*12,0,$C$11)</f>
        <v/>
      </c>
      <c r="D90" s="20">
        <f>IF(B90&gt;$C$6*12,0,C90-E90)</f>
        <v/>
      </c>
      <c r="E90" s="20">
        <f>IF(B90&gt;$C$6*12,0,F89*$C$9/12)</f>
        <v/>
      </c>
      <c r="F90" s="20">
        <f>IF(B90&gt;$C$6*12,0,MAX(0,F89-D90))</f>
        <v/>
      </c>
    </row>
    <row r="91">
      <c r="B91" s="14" t="n">
        <v>62</v>
      </c>
      <c r="C91" s="20">
        <f>IF(B91&gt;$C$6*12,0,$C$11)</f>
        <v/>
      </c>
      <c r="D91" s="20">
        <f>IF(B91&gt;$C$6*12,0,C91-E91)</f>
        <v/>
      </c>
      <c r="E91" s="20">
        <f>IF(B91&gt;$C$6*12,0,F90*$C$9/12)</f>
        <v/>
      </c>
      <c r="F91" s="20">
        <f>IF(B91&gt;$C$6*12,0,MAX(0,F90-D91))</f>
        <v/>
      </c>
    </row>
    <row r="92">
      <c r="B92" s="14" t="n">
        <v>63</v>
      </c>
      <c r="C92" s="20">
        <f>IF(B92&gt;$C$6*12,0,$C$11)</f>
        <v/>
      </c>
      <c r="D92" s="20">
        <f>IF(B92&gt;$C$6*12,0,C92-E92)</f>
        <v/>
      </c>
      <c r="E92" s="20">
        <f>IF(B92&gt;$C$6*12,0,F91*$C$9/12)</f>
        <v/>
      </c>
      <c r="F92" s="20">
        <f>IF(B92&gt;$C$6*12,0,MAX(0,F91-D92))</f>
        <v/>
      </c>
    </row>
    <row r="93">
      <c r="B93" s="14" t="n">
        <v>64</v>
      </c>
      <c r="C93" s="20">
        <f>IF(B93&gt;$C$6*12,0,$C$11)</f>
        <v/>
      </c>
      <c r="D93" s="20">
        <f>IF(B93&gt;$C$6*12,0,C93-E93)</f>
        <v/>
      </c>
      <c r="E93" s="20">
        <f>IF(B93&gt;$C$6*12,0,F92*$C$9/12)</f>
        <v/>
      </c>
      <c r="F93" s="20">
        <f>IF(B93&gt;$C$6*12,0,MAX(0,F92-D93))</f>
        <v/>
      </c>
    </row>
    <row r="94">
      <c r="B94" s="14" t="n">
        <v>65</v>
      </c>
      <c r="C94" s="20">
        <f>IF(B94&gt;$C$6*12,0,$C$11)</f>
        <v/>
      </c>
      <c r="D94" s="20">
        <f>IF(B94&gt;$C$6*12,0,C94-E94)</f>
        <v/>
      </c>
      <c r="E94" s="20">
        <f>IF(B94&gt;$C$6*12,0,F93*$C$9/12)</f>
        <v/>
      </c>
      <c r="F94" s="20">
        <f>IF(B94&gt;$C$6*12,0,MAX(0,F93-D94))</f>
        <v/>
      </c>
    </row>
    <row r="95">
      <c r="B95" s="14" t="n">
        <v>66</v>
      </c>
      <c r="C95" s="20">
        <f>IF(B95&gt;$C$6*12,0,$C$11)</f>
        <v/>
      </c>
      <c r="D95" s="20">
        <f>IF(B95&gt;$C$6*12,0,C95-E95)</f>
        <v/>
      </c>
      <c r="E95" s="20">
        <f>IF(B95&gt;$C$6*12,0,F94*$C$9/12)</f>
        <v/>
      </c>
      <c r="F95" s="20">
        <f>IF(B95&gt;$C$6*12,0,MAX(0,F94-D95))</f>
        <v/>
      </c>
    </row>
    <row r="96">
      <c r="B96" s="14" t="n">
        <v>67</v>
      </c>
      <c r="C96" s="20">
        <f>IF(B96&gt;$C$6*12,0,$C$11)</f>
        <v/>
      </c>
      <c r="D96" s="20">
        <f>IF(B96&gt;$C$6*12,0,C96-E96)</f>
        <v/>
      </c>
      <c r="E96" s="20">
        <f>IF(B96&gt;$C$6*12,0,F95*$C$9/12)</f>
        <v/>
      </c>
      <c r="F96" s="20">
        <f>IF(B96&gt;$C$6*12,0,MAX(0,F95-D96))</f>
        <v/>
      </c>
    </row>
    <row r="97">
      <c r="B97" s="14" t="n">
        <v>68</v>
      </c>
      <c r="C97" s="20">
        <f>IF(B97&gt;$C$6*12,0,$C$11)</f>
        <v/>
      </c>
      <c r="D97" s="20">
        <f>IF(B97&gt;$C$6*12,0,C97-E97)</f>
        <v/>
      </c>
      <c r="E97" s="20">
        <f>IF(B97&gt;$C$6*12,0,F96*$C$9/12)</f>
        <v/>
      </c>
      <c r="F97" s="20">
        <f>IF(B97&gt;$C$6*12,0,MAX(0,F96-D97))</f>
        <v/>
      </c>
    </row>
    <row r="98">
      <c r="B98" s="14" t="n">
        <v>69</v>
      </c>
      <c r="C98" s="20">
        <f>IF(B98&gt;$C$6*12,0,$C$11)</f>
        <v/>
      </c>
      <c r="D98" s="20">
        <f>IF(B98&gt;$C$6*12,0,C98-E98)</f>
        <v/>
      </c>
      <c r="E98" s="20">
        <f>IF(B98&gt;$C$6*12,0,F97*$C$9/12)</f>
        <v/>
      </c>
      <c r="F98" s="20">
        <f>IF(B98&gt;$C$6*12,0,MAX(0,F97-D98))</f>
        <v/>
      </c>
    </row>
    <row r="99">
      <c r="B99" s="14" t="n">
        <v>70</v>
      </c>
      <c r="C99" s="20">
        <f>IF(B99&gt;$C$6*12,0,$C$11)</f>
        <v/>
      </c>
      <c r="D99" s="20">
        <f>IF(B99&gt;$C$6*12,0,C99-E99)</f>
        <v/>
      </c>
      <c r="E99" s="20">
        <f>IF(B99&gt;$C$6*12,0,F98*$C$9/12)</f>
        <v/>
      </c>
      <c r="F99" s="20">
        <f>IF(B99&gt;$C$6*12,0,MAX(0,F98-D99))</f>
        <v/>
      </c>
    </row>
    <row r="100">
      <c r="B100" s="14" t="n">
        <v>71</v>
      </c>
      <c r="C100" s="20">
        <f>IF(B100&gt;$C$6*12,0,$C$11)</f>
        <v/>
      </c>
      <c r="D100" s="20">
        <f>IF(B100&gt;$C$6*12,0,C100-E100)</f>
        <v/>
      </c>
      <c r="E100" s="20">
        <f>IF(B100&gt;$C$6*12,0,F99*$C$9/12)</f>
        <v/>
      </c>
      <c r="F100" s="20">
        <f>IF(B100&gt;$C$6*12,0,MAX(0,F99-D100))</f>
        <v/>
      </c>
    </row>
    <row r="101">
      <c r="B101" s="14" t="n">
        <v>72</v>
      </c>
      <c r="C101" s="20">
        <f>IF(B101&gt;$C$6*12,0,$C$11)</f>
        <v/>
      </c>
      <c r="D101" s="20">
        <f>IF(B101&gt;$C$6*12,0,C101-E101)</f>
        <v/>
      </c>
      <c r="E101" s="20">
        <f>IF(B101&gt;$C$6*12,0,F100*$C$9/12)</f>
        <v/>
      </c>
      <c r="F101" s="20">
        <f>IF(B101&gt;$C$6*12,0,MAX(0,F100-D101))</f>
        <v/>
      </c>
    </row>
    <row r="102">
      <c r="B102" s="14" t="n">
        <v>73</v>
      </c>
      <c r="C102" s="20">
        <f>IF(B102&gt;$C$6*12,0,$C$11)</f>
        <v/>
      </c>
      <c r="D102" s="20">
        <f>IF(B102&gt;$C$6*12,0,C102-E102)</f>
        <v/>
      </c>
      <c r="E102" s="20">
        <f>IF(B102&gt;$C$6*12,0,F101*$C$9/12)</f>
        <v/>
      </c>
      <c r="F102" s="20">
        <f>IF(B102&gt;$C$6*12,0,MAX(0,F101-D102))</f>
        <v/>
      </c>
    </row>
    <row r="103">
      <c r="B103" s="14" t="n">
        <v>74</v>
      </c>
      <c r="C103" s="20">
        <f>IF(B103&gt;$C$6*12,0,$C$11)</f>
        <v/>
      </c>
      <c r="D103" s="20">
        <f>IF(B103&gt;$C$6*12,0,C103-E103)</f>
        <v/>
      </c>
      <c r="E103" s="20">
        <f>IF(B103&gt;$C$6*12,0,F102*$C$9/12)</f>
        <v/>
      </c>
      <c r="F103" s="20">
        <f>IF(B103&gt;$C$6*12,0,MAX(0,F102-D103))</f>
        <v/>
      </c>
    </row>
    <row r="104">
      <c r="B104" s="14" t="n">
        <v>75</v>
      </c>
      <c r="C104" s="20">
        <f>IF(B104&gt;$C$6*12,0,$C$11)</f>
        <v/>
      </c>
      <c r="D104" s="20">
        <f>IF(B104&gt;$C$6*12,0,C104-E104)</f>
        <v/>
      </c>
      <c r="E104" s="20">
        <f>IF(B104&gt;$C$6*12,0,F103*$C$9/12)</f>
        <v/>
      </c>
      <c r="F104" s="20">
        <f>IF(B104&gt;$C$6*12,0,MAX(0,F103-D104))</f>
        <v/>
      </c>
    </row>
    <row r="105">
      <c r="B105" s="14" t="n">
        <v>76</v>
      </c>
      <c r="C105" s="20">
        <f>IF(B105&gt;$C$6*12,0,$C$11)</f>
        <v/>
      </c>
      <c r="D105" s="20">
        <f>IF(B105&gt;$C$6*12,0,C105-E105)</f>
        <v/>
      </c>
      <c r="E105" s="20">
        <f>IF(B105&gt;$C$6*12,0,F104*$C$9/12)</f>
        <v/>
      </c>
      <c r="F105" s="20">
        <f>IF(B105&gt;$C$6*12,0,MAX(0,F104-D105))</f>
        <v/>
      </c>
    </row>
    <row r="106">
      <c r="B106" s="14" t="n">
        <v>77</v>
      </c>
      <c r="C106" s="20">
        <f>IF(B106&gt;$C$6*12,0,$C$11)</f>
        <v/>
      </c>
      <c r="D106" s="20">
        <f>IF(B106&gt;$C$6*12,0,C106-E106)</f>
        <v/>
      </c>
      <c r="E106" s="20">
        <f>IF(B106&gt;$C$6*12,0,F105*$C$9/12)</f>
        <v/>
      </c>
      <c r="F106" s="20">
        <f>IF(B106&gt;$C$6*12,0,MAX(0,F105-D106))</f>
        <v/>
      </c>
    </row>
    <row r="107">
      <c r="B107" s="14" t="n">
        <v>78</v>
      </c>
      <c r="C107" s="20">
        <f>IF(B107&gt;$C$6*12,0,$C$11)</f>
        <v/>
      </c>
      <c r="D107" s="20">
        <f>IF(B107&gt;$C$6*12,0,C107-E107)</f>
        <v/>
      </c>
      <c r="E107" s="20">
        <f>IF(B107&gt;$C$6*12,0,F106*$C$9/12)</f>
        <v/>
      </c>
      <c r="F107" s="20">
        <f>IF(B107&gt;$C$6*12,0,MAX(0,F106-D107))</f>
        <v/>
      </c>
    </row>
    <row r="108">
      <c r="B108" s="14" t="n">
        <v>79</v>
      </c>
      <c r="C108" s="20">
        <f>IF(B108&gt;$C$6*12,0,$C$11)</f>
        <v/>
      </c>
      <c r="D108" s="20">
        <f>IF(B108&gt;$C$6*12,0,C108-E108)</f>
        <v/>
      </c>
      <c r="E108" s="20">
        <f>IF(B108&gt;$C$6*12,0,F107*$C$9/12)</f>
        <v/>
      </c>
      <c r="F108" s="20">
        <f>IF(B108&gt;$C$6*12,0,MAX(0,F107-D108))</f>
        <v/>
      </c>
    </row>
    <row r="109">
      <c r="B109" s="14" t="n">
        <v>80</v>
      </c>
      <c r="C109" s="20">
        <f>IF(B109&gt;$C$6*12,0,$C$11)</f>
        <v/>
      </c>
      <c r="D109" s="20">
        <f>IF(B109&gt;$C$6*12,0,C109-E109)</f>
        <v/>
      </c>
      <c r="E109" s="20">
        <f>IF(B109&gt;$C$6*12,0,F108*$C$9/12)</f>
        <v/>
      </c>
      <c r="F109" s="20">
        <f>IF(B109&gt;$C$6*12,0,MAX(0,F108-D109))</f>
        <v/>
      </c>
    </row>
    <row r="110">
      <c r="B110" s="14" t="n">
        <v>81</v>
      </c>
      <c r="C110" s="20">
        <f>IF(B110&gt;$C$6*12,0,$C$11)</f>
        <v/>
      </c>
      <c r="D110" s="20">
        <f>IF(B110&gt;$C$6*12,0,C110-E110)</f>
        <v/>
      </c>
      <c r="E110" s="20">
        <f>IF(B110&gt;$C$6*12,0,F109*$C$9/12)</f>
        <v/>
      </c>
      <c r="F110" s="20">
        <f>IF(B110&gt;$C$6*12,0,MAX(0,F109-D110))</f>
        <v/>
      </c>
    </row>
    <row r="111">
      <c r="B111" s="14" t="n">
        <v>82</v>
      </c>
      <c r="C111" s="20">
        <f>IF(B111&gt;$C$6*12,0,$C$11)</f>
        <v/>
      </c>
      <c r="D111" s="20">
        <f>IF(B111&gt;$C$6*12,0,C111-E111)</f>
        <v/>
      </c>
      <c r="E111" s="20">
        <f>IF(B111&gt;$C$6*12,0,F110*$C$9/12)</f>
        <v/>
      </c>
      <c r="F111" s="20">
        <f>IF(B111&gt;$C$6*12,0,MAX(0,F110-D111))</f>
        <v/>
      </c>
    </row>
    <row r="112">
      <c r="B112" s="14" t="n">
        <v>83</v>
      </c>
      <c r="C112" s="20">
        <f>IF(B112&gt;$C$6*12,0,$C$11)</f>
        <v/>
      </c>
      <c r="D112" s="20">
        <f>IF(B112&gt;$C$6*12,0,C112-E112)</f>
        <v/>
      </c>
      <c r="E112" s="20">
        <f>IF(B112&gt;$C$6*12,0,F111*$C$9/12)</f>
        <v/>
      </c>
      <c r="F112" s="20">
        <f>IF(B112&gt;$C$6*12,0,MAX(0,F111-D112))</f>
        <v/>
      </c>
    </row>
    <row r="113">
      <c r="B113" s="14" t="n">
        <v>84</v>
      </c>
      <c r="C113" s="20">
        <f>IF(B113&gt;$C$6*12,0,$C$11)</f>
        <v/>
      </c>
      <c r="D113" s="20">
        <f>IF(B113&gt;$C$6*12,0,C113-E113)</f>
        <v/>
      </c>
      <c r="E113" s="20">
        <f>IF(B113&gt;$C$6*12,0,F112*$C$9/12)</f>
        <v/>
      </c>
      <c r="F113" s="20">
        <f>IF(B113&gt;$C$6*12,0,MAX(0,F112-D113))</f>
        <v/>
      </c>
    </row>
  </sheetData>
  <sheetProtection selectLockedCells="0" selectUnlockedCells="0" sheet="1" objects="0" insertRows="1" insertHyperlinks="1" autoFilter="1" scenarios="0" formatColumns="1" deleteColumns="1" insertColumns="1" pivotTables="1" deleteRows="1" formatCells="1" formatRows="1" sort="1" password="CE4B"/>
  <mergeCells count="2">
    <mergeCell ref="A2:G2"/>
    <mergeCell ref="A1:G1"/>
  </mergeCells>
  <pageMargins left="0.75" right="0.75" top="1" bottom="1" header="0.5" footer="0.5"/>
</worksheet>
</file>

<file path=xl/worksheets/sheet7.xml><?xml version="1.0" encoding="utf-8"?>
<worksheet xmlns="http://schemas.openxmlformats.org/spreadsheetml/2006/main">
  <sheetPr>
    <tabColor rgb="001565C0"/>
    <outlinePr summaryBelow="1" summaryRight="1"/>
    <pageSetUpPr/>
  </sheetPr>
  <dimension ref="A1:H26"/>
  <sheetViews>
    <sheetView workbookViewId="0">
      <selection activeCell="A1" sqref="A1"/>
    </sheetView>
  </sheetViews>
  <sheetFormatPr baseColWidth="8" defaultRowHeight="15"/>
  <cols>
    <col width="24" customWidth="1" min="1" max="1"/>
    <col width="18" customWidth="1" min="2" max="2"/>
    <col width="20" customWidth="1" min="3" max="3"/>
    <col width="22" customWidth="1" min="4" max="4"/>
    <col width="18" customWidth="1" min="5" max="5"/>
    <col width="14" customWidth="1" min="6" max="6"/>
    <col width="20" customWidth="1" min="7" max="7"/>
    <col width="18" customWidth="1" min="8" max="8"/>
  </cols>
  <sheetData>
    <row r="1" ht="30" customHeight="1">
      <c r="A1" s="1" t="inlineStr">
        <is>
          <t>Savings Tracker</t>
        </is>
      </c>
    </row>
    <row r="2" ht="20" customHeight="1">
      <c r="A2" s="2" t="inlineStr">
        <is>
          <t>Track all savings accounts. Goal progress and time-to-goal calculate automatically.</t>
        </is>
      </c>
    </row>
    <row r="4">
      <c r="A4" s="16" t="inlineStr">
        <is>
          <t>Account Name</t>
        </is>
      </c>
      <c r="B4" s="16" t="inlineStr">
        <is>
          <t>Type</t>
        </is>
      </c>
      <c r="C4" s="16" t="inlineStr">
        <is>
          <t>Current Balance</t>
        </is>
      </c>
      <c r="D4" s="16" t="inlineStr">
        <is>
          <t>Monthly Contribution</t>
        </is>
      </c>
      <c r="E4" s="16" t="inlineStr">
        <is>
          <t>Target Amount</t>
        </is>
      </c>
      <c r="F4" s="16" t="inlineStr">
        <is>
          <t>% of Goal</t>
        </is>
      </c>
      <c r="G4" s="16" t="inlineStr">
        <is>
          <t>Remaining to Goal</t>
        </is>
      </c>
      <c r="H4" s="16" t="inlineStr">
        <is>
          <t>Months to Goal</t>
        </is>
      </c>
    </row>
    <row r="5">
      <c r="A5" s="17" t="n"/>
      <c r="B5" s="17" t="n"/>
      <c r="C5" s="15" t="n"/>
      <c r="D5" s="15" t="n"/>
      <c r="E5" s="15" t="n"/>
      <c r="F5" s="22">
        <f>IF(E5=0,0,MIN(1,C5/E5))</f>
        <v/>
      </c>
      <c r="G5" s="20">
        <f>IF(E5=0,0,MAX(0,E5-C5))</f>
        <v/>
      </c>
      <c r="H5" s="31">
        <f>IF(OR(D5=0,G5&lt;=0),"N/A",ROUNDUP(G5/D5,0))</f>
        <v/>
      </c>
    </row>
    <row r="6">
      <c r="A6" s="17" t="n"/>
      <c r="B6" s="17" t="n"/>
      <c r="C6" s="15" t="n"/>
      <c r="D6" s="15" t="n"/>
      <c r="E6" s="15" t="n"/>
      <c r="F6" s="22">
        <f>IF(E6=0,0,MIN(1,C6/E6))</f>
        <v/>
      </c>
      <c r="G6" s="20">
        <f>IF(E6=0,0,MAX(0,E6-C6))</f>
        <v/>
      </c>
      <c r="H6" s="31">
        <f>IF(OR(D6=0,G6&lt;=0),"N/A",ROUNDUP(G6/D6,0))</f>
        <v/>
      </c>
    </row>
    <row r="7">
      <c r="A7" s="17" t="n"/>
      <c r="B7" s="17" t="n"/>
      <c r="C7" s="15" t="n"/>
      <c r="D7" s="15" t="n"/>
      <c r="E7" s="15" t="n"/>
      <c r="F7" s="22">
        <f>IF(E7=0,0,MIN(1,C7/E7))</f>
        <v/>
      </c>
      <c r="G7" s="20">
        <f>IF(E7=0,0,MAX(0,E7-C7))</f>
        <v/>
      </c>
      <c r="H7" s="31">
        <f>IF(OR(D7=0,G7&lt;=0),"N/A",ROUNDUP(G7/D7,0))</f>
        <v/>
      </c>
    </row>
    <row r="8">
      <c r="A8" s="17" t="n"/>
      <c r="B8" s="17" t="n"/>
      <c r="C8" s="15" t="n"/>
      <c r="D8" s="15" t="n"/>
      <c r="E8" s="15" t="n"/>
      <c r="F8" s="22">
        <f>IF(E8=0,0,MIN(1,C8/E8))</f>
        <v/>
      </c>
      <c r="G8" s="20">
        <f>IF(E8=0,0,MAX(0,E8-C8))</f>
        <v/>
      </c>
      <c r="H8" s="31">
        <f>IF(OR(D8=0,G8&lt;=0),"N/A",ROUNDUP(G8/D8,0))</f>
        <v/>
      </c>
    </row>
    <row r="9">
      <c r="A9" s="17" t="n"/>
      <c r="B9" s="17" t="n"/>
      <c r="C9" s="15" t="n"/>
      <c r="D9" s="15" t="n"/>
      <c r="E9" s="15" t="n"/>
      <c r="F9" s="22">
        <f>IF(E9=0,0,MIN(1,C9/E9))</f>
        <v/>
      </c>
      <c r="G9" s="20">
        <f>IF(E9=0,0,MAX(0,E9-C9))</f>
        <v/>
      </c>
      <c r="H9" s="31">
        <f>IF(OR(D9=0,G9&lt;=0),"N/A",ROUNDUP(G9/D9,0))</f>
        <v/>
      </c>
    </row>
    <row r="10">
      <c r="A10" s="17" t="n"/>
      <c r="B10" s="17" t="n"/>
      <c r="C10" s="15" t="n"/>
      <c r="D10" s="15" t="n"/>
      <c r="E10" s="15" t="n"/>
      <c r="F10" s="22">
        <f>IF(E10=0,0,MIN(1,C10/E10))</f>
        <v/>
      </c>
      <c r="G10" s="20">
        <f>IF(E10=0,0,MAX(0,E10-C10))</f>
        <v/>
      </c>
      <c r="H10" s="31">
        <f>IF(OR(D10=0,G10&lt;=0),"N/A",ROUNDUP(G10/D10,0))</f>
        <v/>
      </c>
    </row>
    <row r="11">
      <c r="A11" s="17" t="n"/>
      <c r="B11" s="17" t="n"/>
      <c r="C11" s="15" t="n"/>
      <c r="D11" s="15" t="n"/>
      <c r="E11" s="15" t="n"/>
      <c r="F11" s="22">
        <f>IF(E11=0,0,MIN(1,C11/E11))</f>
        <v/>
      </c>
      <c r="G11" s="20">
        <f>IF(E11=0,0,MAX(0,E11-C11))</f>
        <v/>
      </c>
      <c r="H11" s="31">
        <f>IF(OR(D11=0,G11&lt;=0),"N/A",ROUNDUP(G11/D11,0))</f>
        <v/>
      </c>
    </row>
    <row r="12">
      <c r="A12" s="17" t="n"/>
      <c r="B12" s="17" t="n"/>
      <c r="C12" s="15" t="n"/>
      <c r="D12" s="15" t="n"/>
      <c r="E12" s="15" t="n"/>
      <c r="F12" s="22">
        <f>IF(E12=0,0,MIN(1,C12/E12))</f>
        <v/>
      </c>
      <c r="G12" s="20">
        <f>IF(E12=0,0,MAX(0,E12-C12))</f>
        <v/>
      </c>
      <c r="H12" s="31">
        <f>IF(OR(D12=0,G12&lt;=0),"N/A",ROUNDUP(G12/D12,0))</f>
        <v/>
      </c>
    </row>
    <row r="13">
      <c r="A13" s="17" t="n"/>
      <c r="B13" s="17" t="n"/>
      <c r="C13" s="15" t="n"/>
      <c r="D13" s="15" t="n"/>
      <c r="E13" s="15" t="n"/>
      <c r="F13" s="22">
        <f>IF(E13=0,0,MIN(1,C13/E13))</f>
        <v/>
      </c>
      <c r="G13" s="20">
        <f>IF(E13=0,0,MAX(0,E13-C13))</f>
        <v/>
      </c>
      <c r="H13" s="31">
        <f>IF(OR(D13=0,G13&lt;=0),"N/A",ROUNDUP(G13/D13,0))</f>
        <v/>
      </c>
    </row>
    <row r="14">
      <c r="A14" s="17" t="n"/>
      <c r="B14" s="17" t="n"/>
      <c r="C14" s="15" t="n"/>
      <c r="D14" s="15" t="n"/>
      <c r="E14" s="15" t="n"/>
      <c r="F14" s="22">
        <f>IF(E14=0,0,MIN(1,C14/E14))</f>
        <v/>
      </c>
      <c r="G14" s="20">
        <f>IF(E14=0,0,MAX(0,E14-C14))</f>
        <v/>
      </c>
      <c r="H14" s="31">
        <f>IF(OR(D14=0,G14&lt;=0),"N/A",ROUNDUP(G14/D14,0))</f>
        <v/>
      </c>
    </row>
    <row r="15">
      <c r="A15" s="17" t="n"/>
      <c r="B15" s="17" t="n"/>
      <c r="C15" s="15" t="n"/>
      <c r="D15" s="15" t="n"/>
      <c r="E15" s="15" t="n"/>
      <c r="F15" s="22">
        <f>IF(E15=0,0,MIN(1,C15/E15))</f>
        <v/>
      </c>
      <c r="G15" s="20">
        <f>IF(E15=0,0,MAX(0,E15-C15))</f>
        <v/>
      </c>
      <c r="H15" s="31">
        <f>IF(OR(D15=0,G15&lt;=0),"N/A",ROUNDUP(G15/D15,0))</f>
        <v/>
      </c>
    </row>
    <row r="16">
      <c r="A16" s="17" t="n"/>
      <c r="B16" s="17" t="n"/>
      <c r="C16" s="15" t="n"/>
      <c r="D16" s="15" t="n"/>
      <c r="E16" s="15" t="n"/>
      <c r="F16" s="22">
        <f>IF(E16=0,0,MIN(1,C16/E16))</f>
        <v/>
      </c>
      <c r="G16" s="20">
        <f>IF(E16=0,0,MAX(0,E16-C16))</f>
        <v/>
      </c>
      <c r="H16" s="31">
        <f>IF(OR(D16=0,G16&lt;=0),"N/A",ROUNDUP(G16/D16,0))</f>
        <v/>
      </c>
    </row>
    <row r="17">
      <c r="A17" s="17" t="n"/>
      <c r="B17" s="17" t="n"/>
      <c r="C17" s="15" t="n"/>
      <c r="D17" s="15" t="n"/>
      <c r="E17" s="15" t="n"/>
      <c r="F17" s="22">
        <f>IF(E17=0,0,MIN(1,C17/E17))</f>
        <v/>
      </c>
      <c r="G17" s="20">
        <f>IF(E17=0,0,MAX(0,E17-C17))</f>
        <v/>
      </c>
      <c r="H17" s="31">
        <f>IF(OR(D17=0,G17&lt;=0),"N/A",ROUNDUP(G17/D17,0))</f>
        <v/>
      </c>
    </row>
    <row r="18">
      <c r="A18" s="17" t="n"/>
      <c r="B18" s="17" t="n"/>
      <c r="C18" s="15" t="n"/>
      <c r="D18" s="15" t="n"/>
      <c r="E18" s="15" t="n"/>
      <c r="F18" s="22">
        <f>IF(E18=0,0,MIN(1,C18/E18))</f>
        <v/>
      </c>
      <c r="G18" s="20">
        <f>IF(E18=0,0,MAX(0,E18-C18))</f>
        <v/>
      </c>
      <c r="H18" s="31">
        <f>IF(OR(D18=0,G18&lt;=0),"N/A",ROUNDUP(G18/D18,0))</f>
        <v/>
      </c>
    </row>
    <row r="19">
      <c r="A19" s="17" t="n"/>
      <c r="B19" s="17" t="n"/>
      <c r="C19" s="15" t="n"/>
      <c r="D19" s="15" t="n"/>
      <c r="E19" s="15" t="n"/>
      <c r="F19" s="22">
        <f>IF(E19=0,0,MIN(1,C19/E19))</f>
        <v/>
      </c>
      <c r="G19" s="20">
        <f>IF(E19=0,0,MAX(0,E19-C19))</f>
        <v/>
      </c>
      <c r="H19" s="31">
        <f>IF(OR(D19=0,G19&lt;=0),"N/A",ROUNDUP(G19/D19,0))</f>
        <v/>
      </c>
    </row>
    <row r="20">
      <c r="A20" s="17" t="n"/>
      <c r="B20" s="17" t="n"/>
      <c r="C20" s="15" t="n"/>
      <c r="D20" s="15" t="n"/>
      <c r="E20" s="15" t="n"/>
      <c r="F20" s="22">
        <f>IF(E20=0,0,MIN(1,C20/E20))</f>
        <v/>
      </c>
      <c r="G20" s="20">
        <f>IF(E20=0,0,MAX(0,E20-C20))</f>
        <v/>
      </c>
      <c r="H20" s="31">
        <f>IF(OR(D20=0,G20&lt;=0),"N/A",ROUNDUP(G20/D20,0))</f>
        <v/>
      </c>
    </row>
    <row r="21">
      <c r="A21" s="17" t="n"/>
      <c r="B21" s="17" t="n"/>
      <c r="C21" s="15" t="n"/>
      <c r="D21" s="15" t="n"/>
      <c r="E21" s="15" t="n"/>
      <c r="F21" s="22">
        <f>IF(E21=0,0,MIN(1,C21/E21))</f>
        <v/>
      </c>
      <c r="G21" s="20">
        <f>IF(E21=0,0,MAX(0,E21-C21))</f>
        <v/>
      </c>
      <c r="H21" s="31">
        <f>IF(OR(D21=0,G21&lt;=0),"N/A",ROUNDUP(G21/D21,0))</f>
        <v/>
      </c>
    </row>
    <row r="22">
      <c r="A22" s="17" t="n"/>
      <c r="B22" s="17" t="n"/>
      <c r="C22" s="15" t="n"/>
      <c r="D22" s="15" t="n"/>
      <c r="E22" s="15" t="n"/>
      <c r="F22" s="22">
        <f>IF(E22=0,0,MIN(1,C22/E22))</f>
        <v/>
      </c>
      <c r="G22" s="20">
        <f>IF(E22=0,0,MAX(0,E22-C22))</f>
        <v/>
      </c>
      <c r="H22" s="31">
        <f>IF(OR(D22=0,G22&lt;=0),"N/A",ROUNDUP(G22/D22,0))</f>
        <v/>
      </c>
    </row>
    <row r="23">
      <c r="A23" s="17" t="n"/>
      <c r="B23" s="17" t="n"/>
      <c r="C23" s="15" t="n"/>
      <c r="D23" s="15" t="n"/>
      <c r="E23" s="15" t="n"/>
      <c r="F23" s="22">
        <f>IF(E23=0,0,MIN(1,C23/E23))</f>
        <v/>
      </c>
      <c r="G23" s="20">
        <f>IF(E23=0,0,MAX(0,E23-C23))</f>
        <v/>
      </c>
      <c r="H23" s="31">
        <f>IF(OR(D23=0,G23&lt;=0),"N/A",ROUNDUP(G23/D23,0))</f>
        <v/>
      </c>
    </row>
    <row r="24">
      <c r="A24" s="17" t="n"/>
      <c r="B24" s="17" t="n"/>
      <c r="C24" s="15" t="n"/>
      <c r="D24" s="15" t="n"/>
      <c r="E24" s="15" t="n"/>
      <c r="F24" s="22">
        <f>IF(E24=0,0,MIN(1,C24/E24))</f>
        <v/>
      </c>
      <c r="G24" s="20">
        <f>IF(E24=0,0,MAX(0,E24-C24))</f>
        <v/>
      </c>
      <c r="H24" s="31">
        <f>IF(OR(D24=0,G24&lt;=0),"N/A",ROUNDUP(G24/D24,0))</f>
        <v/>
      </c>
    </row>
    <row r="26">
      <c r="A26" s="23" t="inlineStr">
        <is>
          <t>TOTALS</t>
        </is>
      </c>
      <c r="C26" s="32">
        <f>SUM(C5:C24)</f>
        <v/>
      </c>
      <c r="D26" s="32">
        <f>SUM(D5:D24)</f>
        <v/>
      </c>
      <c r="E26" s="32">
        <f>SUM(E5:E24)</f>
        <v/>
      </c>
    </row>
  </sheetData>
  <sheetProtection selectLockedCells="0" selectUnlockedCells="0" sheet="1" objects="0" insertRows="1" insertHyperlinks="1" autoFilter="1" scenarios="0" formatColumns="1" deleteColumns="1" insertColumns="1" pivotTables="1" deleteRows="1" formatCells="1" formatRows="1" sort="1" password="CE4B"/>
  <mergeCells count="2">
    <mergeCell ref="A2:H2"/>
    <mergeCell ref="A1:H1"/>
  </mergeCells>
  <conditionalFormatting sqref="F5:F24">
    <cfRule type="cellIs" priority="1" operator="greaterThanOrEqual" dxfId="0">
      <formula>1</formula>
    </cfRule>
    <cfRule type="cellIs" priority="2" operator="lessThan" dxfId="1">
      <formula>0.5</formula>
    </cfRule>
  </conditionalFormatting>
  <dataValidations count="1">
    <dataValidation sqref="B5 B6 B7 B8 B9 B10 B11 B12 B13 B14 B15 B16 B17 B18 B19 B20 B21 B22 B23 B24" showDropDown="0" showInputMessage="0" showErrorMessage="0" allowBlank="1" type="list">
      <formula1>"Emergency,Short-term,Long-term,Retirement"</formula1>
    </dataValidation>
  </dataValidations>
  <pageMargins left="0.75" right="0.75" top="1" bottom="1" header="0.5" footer="0.5"/>
</worksheet>
</file>

<file path=xl/worksheets/sheet8.xml><?xml version="1.0" encoding="utf-8"?>
<worksheet xmlns="http://schemas.openxmlformats.org/spreadsheetml/2006/main">
  <sheetPr>
    <tabColor rgb="006A1B9A"/>
    <outlinePr summaryBelow="1" summaryRight="1"/>
    <pageSetUpPr/>
  </sheetPr>
  <dimension ref="A1:I28"/>
  <sheetViews>
    <sheetView workbookViewId="0">
      <selection activeCell="A1" sqref="A1"/>
    </sheetView>
  </sheetViews>
  <sheetFormatPr baseColWidth="8" defaultRowHeight="15"/>
  <cols>
    <col width="20" customWidth="1" min="1" max="1"/>
    <col width="20" customWidth="1" min="2" max="2"/>
    <col width="20" customWidth="1" min="3" max="3"/>
    <col width="18" customWidth="1" min="4" max="4"/>
    <col width="22" customWidth="1" min="5" max="5"/>
    <col width="24" customWidth="1" min="6" max="6"/>
    <col width="18" customWidth="1" min="7" max="7"/>
    <col width="16" customWidth="1" min="8" max="8"/>
    <col width="22" customWidth="1" min="9" max="9"/>
  </cols>
  <sheetData>
    <row r="1" ht="30" customHeight="1">
      <c r="A1" s="1" t="inlineStr">
        <is>
          <t>Investment Portfolio Tracker</t>
        </is>
      </c>
    </row>
    <row r="2" ht="20" customHeight="1">
      <c r="A2" s="2" t="inlineStr">
        <is>
          <t>Track all investments. Gain/loss and weighted return calculate automatically.</t>
        </is>
      </c>
    </row>
    <row r="4">
      <c r="A4" s="16" t="inlineStr">
        <is>
          <t>Investment Type</t>
        </is>
      </c>
      <c r="B4" s="16" t="inlineStr">
        <is>
          <t>Platform</t>
        </is>
      </c>
      <c r="C4" s="16" t="inlineStr">
        <is>
          <t>Initial Investment</t>
        </is>
      </c>
      <c r="D4" s="16" t="inlineStr">
        <is>
          <t>Current Value</t>
        </is>
      </c>
      <c r="E4" s="16" t="inlineStr">
        <is>
          <t>Monthly Contribution</t>
        </is>
      </c>
      <c r="F4" s="16" t="inlineStr">
        <is>
          <t>Expected Return (% p.a.)</t>
        </is>
      </c>
      <c r="G4" s="16" t="inlineStr">
        <is>
          <t>Gain / Loss</t>
        </is>
      </c>
      <c r="H4" s="16" t="inlineStr">
        <is>
          <t>Gain / Loss (%)</t>
        </is>
      </c>
      <c r="I4" s="16" t="inlineStr">
        <is>
          <t>Notes</t>
        </is>
      </c>
    </row>
    <row r="5">
      <c r="A5" s="17" t="n"/>
      <c r="B5" s="17" t="n"/>
      <c r="C5" s="15" t="n"/>
      <c r="D5" s="15" t="n"/>
      <c r="E5" s="15" t="n"/>
      <c r="F5" s="25" t="n"/>
      <c r="G5" s="20">
        <f>IF(C5=0,0,D5-C5)</f>
        <v/>
      </c>
      <c r="H5" s="22">
        <f>IF(C5=0,0,G5/C5)</f>
        <v/>
      </c>
      <c r="I5" s="33" t="n"/>
    </row>
    <row r="6">
      <c r="A6" s="17" t="n"/>
      <c r="B6" s="17" t="n"/>
      <c r="C6" s="15" t="n"/>
      <c r="D6" s="15" t="n"/>
      <c r="E6" s="15" t="n"/>
      <c r="F6" s="25" t="n"/>
      <c r="G6" s="20">
        <f>IF(C6=0,0,D6-C6)</f>
        <v/>
      </c>
      <c r="H6" s="22">
        <f>IF(C6=0,0,G6/C6)</f>
        <v/>
      </c>
      <c r="I6" s="33" t="n"/>
    </row>
    <row r="7">
      <c r="A7" s="17" t="n"/>
      <c r="B7" s="17" t="n"/>
      <c r="C7" s="15" t="n"/>
      <c r="D7" s="15" t="n"/>
      <c r="E7" s="15" t="n"/>
      <c r="F7" s="25" t="n"/>
      <c r="G7" s="20">
        <f>IF(C7=0,0,D7-C7)</f>
        <v/>
      </c>
      <c r="H7" s="22">
        <f>IF(C7=0,0,G7/C7)</f>
        <v/>
      </c>
      <c r="I7" s="33" t="n"/>
    </row>
    <row r="8">
      <c r="A8" s="17" t="n"/>
      <c r="B8" s="17" t="n"/>
      <c r="C8" s="15" t="n"/>
      <c r="D8" s="15" t="n"/>
      <c r="E8" s="15" t="n"/>
      <c r="F8" s="25" t="n"/>
      <c r="G8" s="20">
        <f>IF(C8=0,0,D8-C8)</f>
        <v/>
      </c>
      <c r="H8" s="22">
        <f>IF(C8=0,0,G8/C8)</f>
        <v/>
      </c>
      <c r="I8" s="33" t="n"/>
    </row>
    <row r="9">
      <c r="A9" s="17" t="n"/>
      <c r="B9" s="17" t="n"/>
      <c r="C9" s="15" t="n"/>
      <c r="D9" s="15" t="n"/>
      <c r="E9" s="15" t="n"/>
      <c r="F9" s="25" t="n"/>
      <c r="G9" s="20">
        <f>IF(C9=0,0,D9-C9)</f>
        <v/>
      </c>
      <c r="H9" s="22">
        <f>IF(C9=0,0,G9/C9)</f>
        <v/>
      </c>
      <c r="I9" s="33" t="n"/>
    </row>
    <row r="10">
      <c r="A10" s="17" t="n"/>
      <c r="B10" s="17" t="n"/>
      <c r="C10" s="15" t="n"/>
      <c r="D10" s="15" t="n"/>
      <c r="E10" s="15" t="n"/>
      <c r="F10" s="25" t="n"/>
      <c r="G10" s="20">
        <f>IF(C10=0,0,D10-C10)</f>
        <v/>
      </c>
      <c r="H10" s="22">
        <f>IF(C10=0,0,G10/C10)</f>
        <v/>
      </c>
      <c r="I10" s="33" t="n"/>
    </row>
    <row r="11">
      <c r="A11" s="17" t="n"/>
      <c r="B11" s="17" t="n"/>
      <c r="C11" s="15" t="n"/>
      <c r="D11" s="15" t="n"/>
      <c r="E11" s="15" t="n"/>
      <c r="F11" s="25" t="n"/>
      <c r="G11" s="20">
        <f>IF(C11=0,0,D11-C11)</f>
        <v/>
      </c>
      <c r="H11" s="22">
        <f>IF(C11=0,0,G11/C11)</f>
        <v/>
      </c>
      <c r="I11" s="33" t="n"/>
    </row>
    <row r="12">
      <c r="A12" s="17" t="n"/>
      <c r="B12" s="17" t="n"/>
      <c r="C12" s="15" t="n"/>
      <c r="D12" s="15" t="n"/>
      <c r="E12" s="15" t="n"/>
      <c r="F12" s="25" t="n"/>
      <c r="G12" s="20">
        <f>IF(C12=0,0,D12-C12)</f>
        <v/>
      </c>
      <c r="H12" s="22">
        <f>IF(C12=0,0,G12/C12)</f>
        <v/>
      </c>
      <c r="I12" s="33" t="n"/>
    </row>
    <row r="13">
      <c r="A13" s="17" t="n"/>
      <c r="B13" s="17" t="n"/>
      <c r="C13" s="15" t="n"/>
      <c r="D13" s="15" t="n"/>
      <c r="E13" s="15" t="n"/>
      <c r="F13" s="25" t="n"/>
      <c r="G13" s="20">
        <f>IF(C13=0,0,D13-C13)</f>
        <v/>
      </c>
      <c r="H13" s="22">
        <f>IF(C13=0,0,G13/C13)</f>
        <v/>
      </c>
      <c r="I13" s="33" t="n"/>
    </row>
    <row r="14">
      <c r="A14" s="17" t="n"/>
      <c r="B14" s="17" t="n"/>
      <c r="C14" s="15" t="n"/>
      <c r="D14" s="15" t="n"/>
      <c r="E14" s="15" t="n"/>
      <c r="F14" s="25" t="n"/>
      <c r="G14" s="20">
        <f>IF(C14=0,0,D14-C14)</f>
        <v/>
      </c>
      <c r="H14" s="22">
        <f>IF(C14=0,0,G14/C14)</f>
        <v/>
      </c>
      <c r="I14" s="33" t="n"/>
    </row>
    <row r="15">
      <c r="A15" s="17" t="n"/>
      <c r="B15" s="17" t="n"/>
      <c r="C15" s="15" t="n"/>
      <c r="D15" s="15" t="n"/>
      <c r="E15" s="15" t="n"/>
      <c r="F15" s="25" t="n"/>
      <c r="G15" s="20">
        <f>IF(C15=0,0,D15-C15)</f>
        <v/>
      </c>
      <c r="H15" s="22">
        <f>IF(C15=0,0,G15/C15)</f>
        <v/>
      </c>
      <c r="I15" s="33" t="n"/>
    </row>
    <row r="16">
      <c r="A16" s="17" t="n"/>
      <c r="B16" s="17" t="n"/>
      <c r="C16" s="15" t="n"/>
      <c r="D16" s="15" t="n"/>
      <c r="E16" s="15" t="n"/>
      <c r="F16" s="25" t="n"/>
      <c r="G16" s="20">
        <f>IF(C16=0,0,D16-C16)</f>
        <v/>
      </c>
      <c r="H16" s="22">
        <f>IF(C16=0,0,G16/C16)</f>
        <v/>
      </c>
      <c r="I16" s="33" t="n"/>
    </row>
    <row r="17">
      <c r="A17" s="17" t="n"/>
      <c r="B17" s="17" t="n"/>
      <c r="C17" s="15" t="n"/>
      <c r="D17" s="15" t="n"/>
      <c r="E17" s="15" t="n"/>
      <c r="F17" s="25" t="n"/>
      <c r="G17" s="20">
        <f>IF(C17=0,0,D17-C17)</f>
        <v/>
      </c>
      <c r="H17" s="22">
        <f>IF(C17=0,0,G17/C17)</f>
        <v/>
      </c>
      <c r="I17" s="33" t="n"/>
    </row>
    <row r="18">
      <c r="A18" s="17" t="n"/>
      <c r="B18" s="17" t="n"/>
      <c r="C18" s="15" t="n"/>
      <c r="D18" s="15" t="n"/>
      <c r="E18" s="15" t="n"/>
      <c r="F18" s="25" t="n"/>
      <c r="G18" s="20">
        <f>IF(C18=0,0,D18-C18)</f>
        <v/>
      </c>
      <c r="H18" s="22">
        <f>IF(C18=0,0,G18/C18)</f>
        <v/>
      </c>
      <c r="I18" s="33" t="n"/>
    </row>
    <row r="19">
      <c r="A19" s="17" t="n"/>
      <c r="B19" s="17" t="n"/>
      <c r="C19" s="15" t="n"/>
      <c r="D19" s="15" t="n"/>
      <c r="E19" s="15" t="n"/>
      <c r="F19" s="25" t="n"/>
      <c r="G19" s="20">
        <f>IF(C19=0,0,D19-C19)</f>
        <v/>
      </c>
      <c r="H19" s="22">
        <f>IF(C19=0,0,G19/C19)</f>
        <v/>
      </c>
      <c r="I19" s="33" t="n"/>
    </row>
    <row r="20">
      <c r="A20" s="17" t="n"/>
      <c r="B20" s="17" t="n"/>
      <c r="C20" s="15" t="n"/>
      <c r="D20" s="15" t="n"/>
      <c r="E20" s="15" t="n"/>
      <c r="F20" s="25" t="n"/>
      <c r="G20" s="20">
        <f>IF(C20=0,0,D20-C20)</f>
        <v/>
      </c>
      <c r="H20" s="22">
        <f>IF(C20=0,0,G20/C20)</f>
        <v/>
      </c>
      <c r="I20" s="33" t="n"/>
    </row>
    <row r="21">
      <c r="A21" s="17" t="n"/>
      <c r="B21" s="17" t="n"/>
      <c r="C21" s="15" t="n"/>
      <c r="D21" s="15" t="n"/>
      <c r="E21" s="15" t="n"/>
      <c r="F21" s="25" t="n"/>
      <c r="G21" s="20">
        <f>IF(C21=0,0,D21-C21)</f>
        <v/>
      </c>
      <c r="H21" s="22">
        <f>IF(C21=0,0,G21/C21)</f>
        <v/>
      </c>
      <c r="I21" s="33" t="n"/>
    </row>
    <row r="22">
      <c r="A22" s="17" t="n"/>
      <c r="B22" s="17" t="n"/>
      <c r="C22" s="15" t="n"/>
      <c r="D22" s="15" t="n"/>
      <c r="E22" s="15" t="n"/>
      <c r="F22" s="25" t="n"/>
      <c r="G22" s="20">
        <f>IF(C22=0,0,D22-C22)</f>
        <v/>
      </c>
      <c r="H22" s="22">
        <f>IF(C22=0,0,G22/C22)</f>
        <v/>
      </c>
      <c r="I22" s="33" t="n"/>
    </row>
    <row r="23">
      <c r="A23" s="17" t="n"/>
      <c r="B23" s="17" t="n"/>
      <c r="C23" s="15" t="n"/>
      <c r="D23" s="15" t="n"/>
      <c r="E23" s="15" t="n"/>
      <c r="F23" s="25" t="n"/>
      <c r="G23" s="20">
        <f>IF(C23=0,0,D23-C23)</f>
        <v/>
      </c>
      <c r="H23" s="22">
        <f>IF(C23=0,0,G23/C23)</f>
        <v/>
      </c>
      <c r="I23" s="33" t="n"/>
    </row>
    <row r="24">
      <c r="A24" s="17" t="n"/>
      <c r="B24" s="17" t="n"/>
      <c r="C24" s="15" t="n"/>
      <c r="D24" s="15" t="n"/>
      <c r="E24" s="15" t="n"/>
      <c r="F24" s="25" t="n"/>
      <c r="G24" s="20">
        <f>IF(C24=0,0,D24-C24)</f>
        <v/>
      </c>
      <c r="H24" s="22">
        <f>IF(C24=0,0,G24/C24)</f>
        <v/>
      </c>
      <c r="I24" s="33" t="n"/>
    </row>
    <row r="26">
      <c r="A26" s="23" t="inlineStr">
        <is>
          <t>TOTALS</t>
        </is>
      </c>
      <c r="C26" s="34">
        <f>SUM(C5:C24)</f>
        <v/>
      </c>
      <c r="D26" s="34">
        <f>SUM(D5:D24)</f>
        <v/>
      </c>
      <c r="E26" s="34">
        <f>SUM(E5:E24)</f>
        <v/>
      </c>
      <c r="G26" s="34">
        <f>SUM(G5:G24)</f>
        <v/>
      </c>
    </row>
    <row r="28">
      <c r="A28" s="23" t="inlineStr">
        <is>
          <t>Weighted Expected Return</t>
        </is>
      </c>
      <c r="B28" s="22">
        <f>IF(D26=0,0,SUMPRODUCT(D5:D24,F5:F24)/D26)</f>
        <v/>
      </c>
    </row>
  </sheetData>
  <sheetProtection selectLockedCells="0" selectUnlockedCells="0" sheet="1" objects="0" insertRows="1" insertHyperlinks="1" autoFilter="1" scenarios="0" formatColumns="1" deleteColumns="1" insertColumns="1" pivotTables="1" deleteRows="1" formatCells="1" formatRows="1" sort="1" password="CE4B"/>
  <mergeCells count="2">
    <mergeCell ref="A1:I1"/>
    <mergeCell ref="A2:I2"/>
  </mergeCells>
  <conditionalFormatting sqref="G5:G24">
    <cfRule type="cellIs" priority="1" operator="greaterThan" dxfId="0">
      <formula>0</formula>
    </cfRule>
    <cfRule type="cellIs" priority="2" operator="lessThan" dxfId="1">
      <formula>0</formula>
    </cfRule>
  </conditionalFormatting>
  <dataValidations count="1">
    <dataValidation sqref="A5 A6 A7 A8 A9 A10 A11 A12 A13 A14 A15 A16 A17 A18 A19 A20 A21 A22 A23 A24" showDropDown="0" showInputMessage="0" showErrorMessage="0" allowBlank="1" type="list">
      <formula1>"Stocks,ETF,Property,Retirement Fund,Unit Trust,Bonds,Crypto,Other"</formula1>
    </dataValidation>
  </dataValidations>
  <pageMargins left="0.75" right="0.75" top="1" bottom="1" header="0.5" footer="0.5"/>
</worksheet>
</file>

<file path=xl/worksheets/sheet9.xml><?xml version="1.0" encoding="utf-8"?>
<worksheet xmlns="http://schemas.openxmlformats.org/spreadsheetml/2006/main">
  <sheetPr>
    <tabColor rgb="00D84315"/>
    <outlinePr summaryBelow="1" summaryRight="1"/>
    <pageSetUpPr/>
  </sheetPr>
  <dimension ref="A1:E17"/>
  <sheetViews>
    <sheetView workbookViewId="0">
      <selection activeCell="A1" sqref="A1"/>
    </sheetView>
  </sheetViews>
  <sheetFormatPr baseColWidth="8" defaultRowHeight="15"/>
  <cols>
    <col width="5" customWidth="1" min="1" max="1"/>
    <col width="38" customWidth="1" min="2" max="2"/>
    <col width="25" customWidth="1" min="3" max="3"/>
    <col width="25" customWidth="1" min="4" max="4"/>
    <col width="20" customWidth="1" min="5" max="5"/>
  </cols>
  <sheetData>
    <row r="1" ht="30" customHeight="1">
      <c r="A1" s="1" t="inlineStr">
        <is>
          <t>Emergency Fund Tracker</t>
        </is>
      </c>
    </row>
    <row r="2" ht="20" customHeight="1">
      <c r="A2" s="2" t="inlineStr">
        <is>
          <t>Your emergency fund target is calculated from essential expenses (linked from Expenses sheet). Update your current emergency savings below.</t>
        </is>
      </c>
    </row>
    <row r="4">
      <c r="B4" s="23" t="inlineStr">
        <is>
          <t>Monthly Essential Expenses</t>
        </is>
      </c>
      <c r="C4" s="20">
        <f>TotalEssentialExpenses</f>
        <v/>
      </c>
      <c r="D4" s="27" t="inlineStr">
        <is>
          <t>Linked from Expenses sheet</t>
        </is>
      </c>
    </row>
    <row r="5">
      <c r="B5" s="23" t="inlineStr">
        <is>
          <t>Target Months of Expenses</t>
        </is>
      </c>
      <c r="C5" s="31">
        <f>EmergencyFundMonths</f>
        <v/>
      </c>
      <c r="D5" s="27" t="inlineStr">
        <is>
          <t>Set in Settings sheet</t>
        </is>
      </c>
    </row>
    <row r="7">
      <c r="B7" s="23" t="inlineStr">
        <is>
          <t>Emergency Fund Target (3 months)</t>
        </is>
      </c>
      <c r="C7" s="20">
        <f>C4*3</f>
        <v/>
      </c>
    </row>
    <row r="8">
      <c r="B8" s="23" t="inlineStr">
        <is>
          <t>Emergency Fund Target (6 months)</t>
        </is>
      </c>
      <c r="C8" s="20">
        <f>C4*6</f>
        <v/>
      </c>
    </row>
    <row r="9">
      <c r="B9" s="23" t="inlineStr">
        <is>
          <t>Emergency Fund Target (custom from Settings)</t>
        </is>
      </c>
      <c r="C9" s="20">
        <f>C4*C5</f>
        <v/>
      </c>
    </row>
    <row r="11">
      <c r="B11" s="23" t="inlineStr">
        <is>
          <t>Current Emergency Savings</t>
        </is>
      </c>
      <c r="C11" s="15" t="n">
        <v>0</v>
      </c>
      <c r="D11" s="27" t="inlineStr">
        <is>
          <t>Enter your current emergency fund balance</t>
        </is>
      </c>
    </row>
    <row r="13">
      <c r="B13" s="23" t="inlineStr">
        <is>
          <t>% of Target Reached</t>
        </is>
      </c>
      <c r="C13" s="22">
        <f>IF(C9=0,0,C11/C9)</f>
        <v/>
      </c>
    </row>
    <row r="14">
      <c r="B14" s="23" t="inlineStr">
        <is>
          <t>Months of Expenses Covered</t>
        </is>
      </c>
      <c r="C14" s="31">
        <f>IF(C4=0,0,ROUND(C11/C4,1))</f>
        <v/>
      </c>
    </row>
    <row r="15">
      <c r="B15" s="23" t="inlineStr">
        <is>
          <t>Shortfall / Surplus</t>
        </is>
      </c>
      <c r="C15" s="20">
        <f>C11-C9</f>
        <v/>
      </c>
    </row>
    <row r="17">
      <c r="B17" s="8" t="inlineStr">
        <is>
          <t>FUND STATUS</t>
        </is>
      </c>
      <c r="C17" s="35">
        <f>IF(C14&gt;=6,"FULLY FUNDED",IF(C14&gt;=3,"ON TRACK (3-6 months)","UNDERFUNDED"))</f>
        <v/>
      </c>
    </row>
  </sheetData>
  <sheetProtection selectLockedCells="0" selectUnlockedCells="0" sheet="1" objects="0" insertRows="1" insertHyperlinks="1" autoFilter="1" scenarios="0" formatColumns="1" deleteColumns="1" insertColumns="1" pivotTables="1" deleteRows="1" formatCells="1" formatRows="1" sort="1" password="CE4B"/>
  <mergeCells count="2">
    <mergeCell ref="A2:E2"/>
    <mergeCell ref="A1:E1"/>
  </mergeCells>
  <conditionalFormatting sqref="C17">
    <cfRule type="cellIs" priority="1" operator="equal" dxfId="3">
      <formula>"FULLY FUNDED"</formula>
    </cfRule>
    <cfRule type="cellIs" priority="2" operator="equal" dxfId="4">
      <formula>"ON TRACK (3-6 months)"</formula>
    </cfRule>
    <cfRule type="cellIs" priority="3" operator="equal" dxfId="5">
      <formula>"UNDERFUNDED"</formula>
    </cfRule>
  </conditionalFormatting>
  <pageMargins left="0.75" right="0.75" top="1" bottom="1" header="0.5" footer="0.5"/>
</worksheet>
</file>

<file path=xl/worksheets/sheet10.xml><?xml version="1.0" encoding="utf-8"?>
<worksheet xmlns="http://schemas.openxmlformats.org/spreadsheetml/2006/main">
  <sheetPr>
    <tabColor rgb="001F4E79"/>
    <outlinePr summaryBelow="1" summaryRight="1"/>
    <pageSetUpPr/>
  </sheetPr>
  <dimension ref="A1:D18"/>
  <sheetViews>
    <sheetView workbookViewId="0">
      <selection activeCell="A1" sqref="A1"/>
    </sheetView>
  </sheetViews>
  <sheetFormatPr baseColWidth="8" defaultRowHeight="15"/>
  <cols>
    <col width="5" customWidth="1" min="1" max="1"/>
    <col width="40" customWidth="1" min="2" max="2"/>
    <col width="25" customWidth="1" min="3" max="3"/>
    <col width="30" customWidth="1" min="4" max="4"/>
  </cols>
  <sheetData>
    <row r="1" ht="30" customHeight="1">
      <c r="A1" s="1" t="inlineStr">
        <is>
          <t>Settings &amp; Configuration</t>
        </is>
      </c>
    </row>
    <row r="2" ht="20" customHeight="1">
      <c r="A2" s="2" t="inlineStr">
        <is>
          <t>Update the values below. All loan calculations reference these settings automatically.</t>
        </is>
      </c>
    </row>
    <row r="4">
      <c r="B4" s="23" t="inlineStr">
        <is>
          <t>Namibian Prime Lending Rate (%)</t>
        </is>
      </c>
      <c r="C4" s="25" t="n">
        <v>0.1125</v>
      </c>
      <c r="D4" s="27" t="inlineStr">
        <is>
          <t>Currently 11.25% as of 2024</t>
        </is>
      </c>
    </row>
    <row r="5">
      <c r="B5" s="23" t="inlineStr">
        <is>
          <t>Home Loan Margin (%)</t>
        </is>
      </c>
      <c r="C5" s="25" t="n">
        <v>0.02</v>
      </c>
      <c r="D5" s="27" t="inlineStr">
        <is>
          <t>Margin above prime for home loan</t>
        </is>
      </c>
    </row>
    <row r="6">
      <c r="B6" s="23" t="inlineStr">
        <is>
          <t>Vehicle Loan Margin (%)</t>
        </is>
      </c>
      <c r="C6" s="25" t="n">
        <v>0.025</v>
      </c>
      <c r="D6" s="27" t="inlineStr">
        <is>
          <t>Margin above prime for vehicle loan</t>
        </is>
      </c>
    </row>
    <row r="8">
      <c r="B8" s="23" t="inlineStr">
        <is>
          <t>Effective Home Loan Rate</t>
        </is>
      </c>
      <c r="C8" s="22">
        <f>C4+C5</f>
        <v/>
      </c>
      <c r="D8" s="27">
        <f> Prime + Home Loan Margin</f>
        <v/>
      </c>
    </row>
    <row r="9">
      <c r="B9" s="23" t="inlineStr">
        <is>
          <t>Effective Vehicle Loan Rate</t>
        </is>
      </c>
      <c r="C9" s="22">
        <f>C4+C6</f>
        <v/>
      </c>
      <c r="D9" s="27">
        <f> Prime + Vehicle Loan Margin</f>
        <v/>
      </c>
    </row>
    <row r="11">
      <c r="B11" s="23" t="inlineStr">
        <is>
          <t>Emergency Fund Target (months)</t>
        </is>
      </c>
      <c r="C11" s="28" t="n">
        <v>6</v>
      </c>
      <c r="D11" s="27" t="inlineStr">
        <is>
          <t>Recommended: 3-6 months</t>
        </is>
      </c>
    </row>
    <row r="13">
      <c r="B13" s="23" t="inlineStr">
        <is>
          <t>Currency</t>
        </is>
      </c>
      <c r="C13" s="36" t="inlineStr">
        <is>
          <t>NAD (N$)</t>
        </is>
      </c>
    </row>
    <row r="15">
      <c r="B15" s="11" t="inlineStr">
        <is>
          <t>COLOR LEGEND</t>
        </is>
      </c>
    </row>
    <row r="16">
      <c r="B16" s="37" t="inlineStr">
        <is>
          <t>Input Cell (you type here)</t>
        </is>
      </c>
    </row>
    <row r="17">
      <c r="B17" s="38" t="inlineStr">
        <is>
          <t>Formula / Calculated Cell (auto)</t>
        </is>
      </c>
    </row>
    <row r="18">
      <c r="B18" s="13" t="inlineStr">
        <is>
          <t>Header Row</t>
        </is>
      </c>
    </row>
  </sheetData>
  <sheetProtection selectLockedCells="0" selectUnlockedCells="0" sheet="1" objects="0" insertRows="1" insertHyperlinks="1" autoFilter="1" scenarios="0" formatColumns="1" deleteColumns="1" insertColumns="1" pivotTables="1" deleteRows="1" formatCells="1" formatRows="1" sort="1" password="CE4B"/>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2026-06-23T08:15:50Z</dcterms:created>
  <dcterms:modified xsi:type="dcterms:W3CDTF">2026-06-23T08:15:50Z</dcterms:modified>
</cp:coreProperties>
</file>