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lient Report" sheetId="1" state="visible" r:id="rId1"/>
    <sheet name="Dashboard" sheetId="2" state="visible" r:id="rId2"/>
    <sheet name="Inputs" sheetId="3" state="visible" r:id="rId3"/>
    <sheet name="Cash Flow" sheetId="4" state="visible" r:id="rId4"/>
    <sheet name="Sensitivity" sheetId="5" state="visible" r:id="rId5"/>
    <sheet name="Region Yields" sheetId="6" state="visible" r:id="rId6"/>
  </sheets>
  <definedNames/>
  <calcPr calcId="191028" fullCalcOnLoad="1" concurrentCalc="0" forceFullCalc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_ * #,##0.00_ ;_ * \-#,##0.00_ ;_ * &quot; &quot;??_ ;_ @_ "/>
    <numFmt numFmtId="166" formatCode="_-* #,##0.00_-;\-* #,##0.00_-;_-* &quot;-&quot;??_-;_-@_-"/>
    <numFmt numFmtId="167" formatCode="_-&quot;N$&quot;* #,##0.00_-;\-&quot;N$&quot;* #,##0.00_-;_-&quot;N$&quot;* &quot;-&quot;??_-;_-@_-"/>
    <numFmt numFmtId="168" formatCode="0.0000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entury Gothic"/>
      <family val="2"/>
      <color rgb="FF58595B"/>
      <sz val="9"/>
    </font>
    <font>
      <name val="Century Gothic"/>
      <family val="2"/>
      <color rgb="FF58595B"/>
      <sz val="12"/>
    </font>
    <font>
      <name val="Century Gothic"/>
      <family val="2"/>
      <b val="1"/>
      <color rgb="FF58595B"/>
      <sz val="9"/>
    </font>
    <font>
      <name val="Century Gothic"/>
      <family val="2"/>
      <b val="1"/>
      <color rgb="FF800080"/>
      <sz val="9"/>
    </font>
    <font>
      <name val="Century Gothic"/>
      <family val="2"/>
      <color rgb="FF58595B"/>
      <sz val="10"/>
    </font>
    <font>
      <name val="Century Gothic"/>
      <family val="2"/>
      <color rgb="FF58595B"/>
      <sz val="8"/>
    </font>
    <font>
      <name val="Century Gothic"/>
      <family val="2"/>
      <i val="1"/>
      <color rgb="FF58595B"/>
      <sz val="8"/>
    </font>
    <font>
      <name val="Century Gothic"/>
      <family val="2"/>
      <color theme="1" tint="0.249977111117893"/>
      <sz val="10"/>
    </font>
    <font>
      <name val="Century Gothic"/>
      <family val="2"/>
      <color theme="1" tint="0.249977111117893"/>
      <sz val="9"/>
    </font>
    <font>
      <name val="Century Gothic"/>
      <family val="2"/>
      <b val="1"/>
      <color theme="1" tint="0.249977111117893"/>
      <sz val="9"/>
    </font>
    <font>
      <name val="Century Gothic"/>
      <family val="2"/>
      <i val="1"/>
      <color theme="1" tint="0.249977111117893"/>
      <sz val="9"/>
    </font>
    <font>
      <name val="Calibri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/>
      <top/>
      <bottom style="thin">
        <color theme="0" tint="-0.249946592608417"/>
      </bottom>
      <diagonal/>
    </border>
    <border>
      <left/>
      <right/>
      <top/>
      <bottom style="thin">
        <color theme="0" tint="-0.149967955565050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1" fillId="0" borderId="0"/>
    <xf numFmtId="43" fontId="1" fillId="0" borderId="0"/>
    <xf numFmtId="0" fontId="1" fillId="0" borderId="0"/>
    <xf numFmtId="9" fontId="1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left" vertical="center" wrapText="1"/>
    </xf>
    <xf numFmtId="10" fontId="0" fillId="5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left" vertical="center" wrapText="1"/>
    </xf>
    <xf numFmtId="1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left" vertical="center" wrapText="1"/>
    </xf>
    <xf numFmtId="1" fontId="0" fillId="5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3" borderId="0" applyAlignment="1" pivotButton="0" quotePrefix="0" xfId="0">
      <alignment horizontal="left" vertical="center" wrapText="1"/>
    </xf>
    <xf numFmtId="9" fontId="3" fillId="6" borderId="0" applyAlignment="1" pivotButton="0" quotePrefix="0" xfId="2">
      <alignment horizontal="left" vertical="top"/>
    </xf>
    <xf numFmtId="0" fontId="3" fillId="6" borderId="0" applyAlignment="1" pivotButton="0" quotePrefix="0" xfId="2">
      <alignment horizontal="left" vertical="top"/>
    </xf>
    <xf numFmtId="0" fontId="3" fillId="6" borderId="2" applyAlignment="1" pivotButton="0" quotePrefix="0" xfId="2">
      <alignment horizontal="left" vertical="top"/>
    </xf>
    <xf numFmtId="165" fontId="4" fillId="6" borderId="2" applyAlignment="1" pivotButton="0" quotePrefix="0" xfId="2">
      <alignment horizontal="right" vertical="top"/>
    </xf>
    <xf numFmtId="0" fontId="5" fillId="6" borderId="0" applyAlignment="1" pivotButton="0" quotePrefix="0" xfId="2">
      <alignment horizontal="right" vertical="top"/>
    </xf>
    <xf numFmtId="14" fontId="3" fillId="6" borderId="3" applyAlignment="1" pivotButton="0" quotePrefix="0" xfId="2">
      <alignment vertical="top"/>
    </xf>
    <xf numFmtId="0" fontId="5" fillId="6" borderId="0" applyAlignment="1" pivotButton="0" quotePrefix="0" xfId="2">
      <alignment horizontal="left" vertical="top"/>
    </xf>
    <xf numFmtId="0" fontId="6" fillId="6" borderId="0" applyAlignment="1" pivotButton="0" quotePrefix="0" xfId="2">
      <alignment horizontal="left" vertical="top"/>
    </xf>
    <xf numFmtId="0" fontId="3" fillId="6" borderId="0" applyAlignment="1" pivotButton="0" quotePrefix="0" xfId="2">
      <alignment horizontal="right" vertical="top"/>
    </xf>
    <xf numFmtId="165" fontId="3" fillId="6" borderId="0" applyAlignment="1" pivotButton="0" quotePrefix="0" xfId="2">
      <alignment horizontal="right" vertical="top"/>
    </xf>
    <xf numFmtId="0" fontId="4" fillId="6" borderId="0" applyAlignment="1" pivotButton="0" quotePrefix="0" xfId="2">
      <alignment horizontal="left" vertical="top"/>
    </xf>
    <xf numFmtId="0" fontId="4" fillId="6" borderId="4" applyAlignment="1" pivotButton="0" quotePrefix="0" xfId="2">
      <alignment horizontal="left" vertical="top"/>
    </xf>
    <xf numFmtId="0" fontId="7" fillId="6" borderId="4" applyAlignment="1" pivotButton="0" quotePrefix="0" xfId="2">
      <alignment horizontal="right" vertical="top"/>
    </xf>
    <xf numFmtId="0" fontId="3" fillId="6" borderId="0" applyAlignment="1" applyProtection="1" pivotButton="0" quotePrefix="0" xfId="2">
      <alignment horizontal="left" vertical="top"/>
      <protection locked="0" hidden="0"/>
    </xf>
    <xf numFmtId="0" fontId="3" fillId="6" borderId="0" applyAlignment="1" applyProtection="1" pivotButton="0" quotePrefix="0" xfId="2">
      <alignment vertical="top" wrapText="1"/>
      <protection locked="0" hidden="0"/>
    </xf>
    <xf numFmtId="166" fontId="3" fillId="6" borderId="0" applyAlignment="1" pivotButton="0" quotePrefix="0" xfId="2">
      <alignment horizontal="left" vertical="top"/>
    </xf>
    <xf numFmtId="9" fontId="8" fillId="6" borderId="0" applyAlignment="1" pivotButton="0" quotePrefix="0" xfId="2">
      <alignment vertical="top"/>
    </xf>
    <xf numFmtId="43" fontId="9" fillId="6" borderId="3" applyAlignment="1" pivotButton="0" quotePrefix="0" xfId="1">
      <alignment vertical="top" wrapText="1"/>
    </xf>
    <xf numFmtId="43" fontId="3" fillId="6" borderId="0" applyAlignment="1" pivotButton="0" quotePrefix="0" xfId="1">
      <alignment horizontal="left" vertical="top"/>
    </xf>
    <xf numFmtId="167" fontId="3" fillId="6" borderId="0" applyAlignment="1" pivotButton="0" quotePrefix="0" xfId="2">
      <alignment horizontal="left" vertical="top"/>
    </xf>
    <xf numFmtId="0" fontId="3" fillId="6" borderId="5" applyAlignment="1" pivotButton="0" quotePrefix="0" xfId="2">
      <alignment horizontal="left" vertical="top"/>
    </xf>
    <xf numFmtId="0" fontId="3" fillId="6" borderId="5" applyAlignment="1" applyProtection="1" pivotButton="0" quotePrefix="0" xfId="2">
      <alignment horizontal="left" vertical="top"/>
      <protection locked="0" hidden="0"/>
    </xf>
    <xf numFmtId="0" fontId="7" fillId="6" borderId="5" applyAlignment="1" applyProtection="1" pivotButton="0" quotePrefix="0" xfId="2">
      <alignment horizontal="right"/>
      <protection locked="0" hidden="0"/>
    </xf>
    <xf numFmtId="9" fontId="3" fillId="6" borderId="0" applyAlignment="1" pivotButton="0" quotePrefix="0" xfId="3">
      <alignment horizontal="left" vertical="top"/>
    </xf>
    <xf numFmtId="0" fontId="3" fillId="6" borderId="0" applyAlignment="1" pivotButton="0" quotePrefix="0" xfId="2">
      <alignment vertical="top"/>
    </xf>
    <xf numFmtId="0" fontId="3" fillId="6" borderId="6" applyAlignment="1" pivotButton="0" quotePrefix="0" xfId="2">
      <alignment horizontal="left" vertical="top"/>
    </xf>
    <xf numFmtId="0" fontId="3" fillId="6" borderId="7" applyAlignment="1" pivotButton="0" quotePrefix="0" xfId="2">
      <alignment horizontal="left" vertical="top"/>
    </xf>
    <xf numFmtId="0" fontId="3" fillId="6" borderId="8" applyAlignment="1" pivotButton="0" quotePrefix="0" xfId="2">
      <alignment horizontal="left" vertical="top"/>
    </xf>
    <xf numFmtId="0" fontId="3" fillId="6" borderId="7" applyAlignment="1" applyProtection="1" pivotButton="0" quotePrefix="0" xfId="2">
      <alignment horizontal="left" vertical="top"/>
      <protection locked="0" hidden="0"/>
    </xf>
    <xf numFmtId="0" fontId="7" fillId="6" borderId="8" applyAlignment="1" applyProtection="1" pivotButton="0" quotePrefix="0" xfId="2">
      <alignment horizontal="right"/>
      <protection locked="0" hidden="0"/>
    </xf>
    <xf numFmtId="0" fontId="5" fillId="6" borderId="9" applyAlignment="1" applyProtection="1" pivotButton="0" quotePrefix="0" xfId="2">
      <alignment vertical="top" wrapText="1"/>
      <protection locked="0" hidden="0"/>
    </xf>
    <xf numFmtId="0" fontId="5" fillId="6" borderId="0" applyAlignment="1" applyProtection="1" pivotButton="0" quotePrefix="0" xfId="2">
      <alignment vertical="top"/>
      <protection locked="0" hidden="0"/>
    </xf>
    <xf numFmtId="0" fontId="3" fillId="6" borderId="10" applyAlignment="1" applyProtection="1" pivotButton="0" quotePrefix="0" xfId="2">
      <alignment vertical="top" wrapText="1"/>
      <protection locked="0" hidden="0"/>
    </xf>
    <xf numFmtId="0" fontId="5" fillId="6" borderId="0" applyAlignment="1" applyProtection="1" pivotButton="0" quotePrefix="0" xfId="2">
      <alignment vertical="top" wrapText="1"/>
      <protection locked="0" hidden="0"/>
    </xf>
    <xf numFmtId="0" fontId="3" fillId="6" borderId="10" applyAlignment="1" applyProtection="1" pivotButton="0" quotePrefix="0" xfId="2">
      <alignment horizontal="left" vertical="top" wrapText="1"/>
      <protection locked="0" hidden="0"/>
    </xf>
    <xf numFmtId="0" fontId="5" fillId="6" borderId="0" applyAlignment="1" applyProtection="1" pivotButton="0" quotePrefix="0" xfId="2">
      <alignment horizontal="right" vertical="top"/>
      <protection locked="0" hidden="0"/>
    </xf>
    <xf numFmtId="166" fontId="5" fillId="6" borderId="10" applyAlignment="1" applyProtection="1" pivotButton="0" quotePrefix="0" xfId="2">
      <alignment horizontal="left" vertical="top" wrapText="1"/>
      <protection locked="0" hidden="0"/>
    </xf>
    <xf numFmtId="0" fontId="3" fillId="6" borderId="9" applyAlignment="1" applyProtection="1" pivotButton="0" quotePrefix="0" xfId="2">
      <alignment vertical="top" wrapText="1"/>
      <protection locked="0" hidden="0"/>
    </xf>
    <xf numFmtId="0" fontId="3" fillId="6" borderId="10" applyAlignment="1" applyProtection="1" pivotButton="0" quotePrefix="0" xfId="2">
      <alignment horizontal="right" vertical="top" wrapText="1"/>
      <protection locked="0" hidden="0"/>
    </xf>
    <xf numFmtId="0" fontId="3" fillId="6" borderId="0" applyAlignment="1" applyProtection="1" pivotButton="0" quotePrefix="0" xfId="2">
      <alignment horizontal="right" vertical="top" wrapText="1"/>
      <protection locked="0" hidden="0"/>
    </xf>
    <xf numFmtId="0" fontId="3" fillId="6" borderId="9" applyAlignment="1" applyProtection="1" pivotButton="0" quotePrefix="0" xfId="2">
      <alignment horizontal="left" vertical="top" wrapText="1"/>
      <protection locked="0" hidden="0"/>
    </xf>
    <xf numFmtId="0" fontId="3" fillId="6" borderId="0" applyAlignment="1" applyProtection="1" pivotButton="0" quotePrefix="0" xfId="2">
      <alignment horizontal="left" vertical="top" wrapText="1"/>
      <protection locked="0" hidden="0"/>
    </xf>
    <xf numFmtId="43" fontId="3" fillId="6" borderId="10" applyAlignment="1" applyProtection="1" pivotButton="0" quotePrefix="0" xfId="1">
      <alignment horizontal="left" vertical="top" wrapText="1"/>
      <protection locked="0" hidden="0"/>
    </xf>
    <xf numFmtId="43" fontId="3" fillId="6" borderId="0" applyAlignment="1" applyProtection="1" pivotButton="0" quotePrefix="0" xfId="1">
      <alignment horizontal="left" vertical="top" wrapText="1"/>
      <protection locked="0" hidden="0"/>
    </xf>
    <xf numFmtId="0" fontId="3" fillId="6" borderId="9" applyAlignment="1" pivotButton="0" quotePrefix="0" xfId="2">
      <alignment horizontal="left" vertical="top"/>
    </xf>
    <xf numFmtId="0" fontId="10" fillId="6" borderId="9" pivotButton="0" quotePrefix="0" xfId="0"/>
    <xf numFmtId="0" fontId="10" fillId="6" borderId="0" pivotButton="0" quotePrefix="0" xfId="0"/>
    <xf numFmtId="0" fontId="11" fillId="6" borderId="0" applyAlignment="1" pivotButton="0" quotePrefix="0" xfId="0">
      <alignment vertical="top" wrapText="1"/>
    </xf>
    <xf numFmtId="0" fontId="11" fillId="6" borderId="10" applyAlignment="1" pivotButton="0" quotePrefix="0" xfId="0">
      <alignment vertical="top" wrapText="1"/>
    </xf>
    <xf numFmtId="0" fontId="12" fillId="6" borderId="0" applyAlignment="1" pivotButton="0" quotePrefix="0" xfId="0">
      <alignment wrapText="1"/>
    </xf>
    <xf numFmtId="0" fontId="12" fillId="6" borderId="10" applyAlignment="1" pivotButton="0" quotePrefix="0" xfId="0">
      <alignment wrapText="1"/>
    </xf>
    <xf numFmtId="0" fontId="10" fillId="6" borderId="10" pivotButton="0" quotePrefix="0" xfId="0"/>
    <xf numFmtId="0" fontId="11" fillId="6" borderId="11" applyAlignment="1" pivotButton="0" quotePrefix="0" xfId="0">
      <alignment wrapText="1"/>
    </xf>
    <xf numFmtId="0" fontId="13" fillId="6" borderId="0" applyAlignment="1" pivotButton="0" quotePrefix="0" xfId="0">
      <alignment vertical="top" wrapText="1"/>
    </xf>
    <xf numFmtId="0" fontId="12" fillId="6" borderId="9" applyAlignment="1" pivotButton="0" quotePrefix="0" xfId="0">
      <alignment vertical="top"/>
    </xf>
    <xf numFmtId="0" fontId="12" fillId="6" borderId="10" applyAlignment="1" pivotButton="0" quotePrefix="0" xfId="0">
      <alignment vertical="top"/>
    </xf>
    <xf numFmtId="0" fontId="11" fillId="6" borderId="12" applyAlignment="1" pivotButton="0" quotePrefix="0" xfId="0">
      <alignment wrapText="1"/>
    </xf>
    <xf numFmtId="0" fontId="3" fillId="6" borderId="9" applyAlignment="1" applyProtection="1" pivotButton="0" quotePrefix="0" xfId="2">
      <alignment horizontal="left" vertical="top"/>
      <protection locked="0" hidden="0"/>
    </xf>
    <xf numFmtId="0" fontId="3" fillId="6" borderId="10" applyAlignment="1" applyProtection="1" pivotButton="0" quotePrefix="0" xfId="2">
      <alignment horizontal="left" vertical="top"/>
      <protection locked="0" hidden="0"/>
    </xf>
    <xf numFmtId="0" fontId="3" fillId="6" borderId="0" applyAlignment="1" pivotButton="0" quotePrefix="0" xfId="2">
      <alignment horizontal="left" vertical="top" wrapText="1"/>
    </xf>
    <xf numFmtId="0" fontId="3" fillId="6" borderId="13" applyAlignment="1" pivotButton="0" quotePrefix="0" xfId="2">
      <alignment horizontal="left" vertical="top"/>
    </xf>
    <xf numFmtId="0" fontId="3" fillId="6" borderId="14" applyAlignment="1" pivotButton="0" quotePrefix="0" xfId="2">
      <alignment horizontal="left" vertical="top"/>
    </xf>
    <xf numFmtId="0" fontId="3" fillId="6" borderId="15" applyAlignment="1" pivotButton="0" quotePrefix="0" xfId="2">
      <alignment horizontal="left" vertical="top"/>
    </xf>
    <xf numFmtId="4" fontId="3" fillId="6" borderId="0" applyAlignment="1" applyProtection="1" pivotButton="0" quotePrefix="0" xfId="2">
      <alignment horizontal="left" vertical="top"/>
      <protection locked="0" hidden="0"/>
    </xf>
    <xf numFmtId="3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3" fontId="0" fillId="0" borderId="17" applyAlignment="1" pivotButton="0" quotePrefix="0" xfId="0">
      <alignment horizontal="center" vertical="center" wrapText="1"/>
    </xf>
    <xf numFmtId="164" fontId="0" fillId="0" borderId="17" applyAlignment="1" pivotButton="0" quotePrefix="0" xfId="0">
      <alignment horizontal="center" vertical="center" wrapText="1"/>
    </xf>
    <xf numFmtId="4" fontId="0" fillId="0" borderId="17" applyAlignment="1" pivotButton="0" quotePrefix="0" xfId="0">
      <alignment horizontal="center" vertical="center" wrapText="1"/>
    </xf>
    <xf numFmtId="168" fontId="0" fillId="0" borderId="17" applyAlignment="1" pivotButton="0" quotePrefix="0" xfId="0">
      <alignment horizontal="center" vertical="center" wrapText="1"/>
    </xf>
    <xf numFmtId="0" fontId="0" fillId="0" borderId="16" pivotButton="0" quotePrefix="0" xfId="0"/>
    <xf numFmtId="4" fontId="2" fillId="0" borderId="16" applyAlignment="1" pivotButton="0" quotePrefix="0" xfId="0">
      <alignment horizontal="center"/>
    </xf>
    <xf numFmtId="4" fontId="2" fillId="7" borderId="16" applyAlignment="1" pivotButton="0" quotePrefix="0" xfId="0">
      <alignment horizontal="center"/>
    </xf>
    <xf numFmtId="4" fontId="2" fillId="7" borderId="16" pivotButton="0" quotePrefix="0" xfId="0"/>
    <xf numFmtId="0" fontId="2" fillId="7" borderId="16" pivotButton="0" quotePrefix="0" xfId="0"/>
    <xf numFmtId="0" fontId="2" fillId="7" borderId="0" pivotButton="0" quotePrefix="0" xfId="0"/>
    <xf numFmtId="4" fontId="3" fillId="6" borderId="0" applyAlignment="1" pivotButton="0" quotePrefix="0" xfId="2">
      <alignment horizontal="center" vertical="top"/>
    </xf>
    <xf numFmtId="4" fontId="3" fillId="6" borderId="0" applyAlignment="1" applyProtection="1" pivotButton="0" quotePrefix="0" xfId="2">
      <alignment horizontal="center" vertical="top" wrapText="1"/>
      <protection locked="0" hidden="0"/>
    </xf>
    <xf numFmtId="0" fontId="3" fillId="6" borderId="0" applyAlignment="1" pivotButton="0" quotePrefix="0" xfId="2">
      <alignment horizontal="center" vertical="top"/>
    </xf>
    <xf numFmtId="10" fontId="3" fillId="6" borderId="0" applyAlignment="1" pivotButton="0" quotePrefix="0" xfId="2">
      <alignment horizontal="center" vertical="top"/>
    </xf>
    <xf numFmtId="0" fontId="3" fillId="6" borderId="0" applyAlignment="1" applyProtection="1" pivotButton="0" quotePrefix="0" xfId="2">
      <alignment horizontal="center" vertical="top" wrapText="1"/>
      <protection locked="0" hidden="0"/>
    </xf>
    <xf numFmtId="0" fontId="0" fillId="3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4" fontId="2" fillId="7" borderId="20" applyAlignment="1" pivotButton="0" quotePrefix="0" xfId="0">
      <alignment horizontal="center"/>
    </xf>
    <xf numFmtId="0" fontId="0" fillId="3" borderId="16" applyAlignment="1" pivotButton="0" quotePrefix="0" xfId="0">
      <alignment horizontal="center" vertical="center" wrapText="1"/>
    </xf>
    <xf numFmtId="3" fontId="0" fillId="0" borderId="16" applyAlignment="1" pivotButton="0" quotePrefix="0" xfId="0">
      <alignment horizontal="center" vertical="center" wrapText="1"/>
    </xf>
    <xf numFmtId="164" fontId="0" fillId="0" borderId="16" pivotButton="0" quotePrefix="0" xfId="0"/>
    <xf numFmtId="43" fontId="0" fillId="0" borderId="16" pivotButton="0" quotePrefix="0" xfId="1"/>
    <xf numFmtId="43" fontId="2" fillId="7" borderId="16" pivotButton="0" quotePrefix="0" xfId="0"/>
    <xf numFmtId="3" fontId="2" fillId="7" borderId="0" applyAlignment="1" pivotButton="0" quotePrefix="0" xfId="0">
      <alignment horizontal="center"/>
    </xf>
    <xf numFmtId="43" fontId="2" fillId="7" borderId="0" pivotButton="0" quotePrefix="0" xfId="0"/>
    <xf numFmtId="43" fontId="3" fillId="6" borderId="0" applyAlignment="1" pivotButton="0" quotePrefix="0" xfId="1">
      <alignment horizontal="center" vertical="top"/>
    </xf>
    <xf numFmtId="4" fontId="3" fillId="6" borderId="0" applyAlignment="1" pivotButton="0" quotePrefix="0" xfId="2">
      <alignment horizontal="right" vertical="top"/>
    </xf>
    <xf numFmtId="165" fontId="4" fillId="6" borderId="2" applyAlignment="1" pivotButton="0" quotePrefix="0" xfId="2">
      <alignment horizontal="right" vertical="top"/>
    </xf>
    <xf numFmtId="165" fontId="3" fillId="6" borderId="0" applyAlignment="1" pivotButton="0" quotePrefix="0" xfId="2">
      <alignment horizontal="right" vertical="top"/>
    </xf>
    <xf numFmtId="166" fontId="3" fillId="6" borderId="0" applyAlignment="1" pivotButton="0" quotePrefix="0" xfId="2">
      <alignment horizontal="left" vertical="top"/>
    </xf>
    <xf numFmtId="167" fontId="3" fillId="6" borderId="0" applyAlignment="1" pivotButton="0" quotePrefix="0" xfId="2">
      <alignment horizontal="left" vertical="top"/>
    </xf>
    <xf numFmtId="166" fontId="5" fillId="6" borderId="10" applyAlignment="1" applyProtection="1" pivotButton="0" quotePrefix="0" xfId="2">
      <alignment horizontal="left" vertical="top" wrapText="1"/>
      <protection locked="0" hidden="0"/>
    </xf>
    <xf numFmtId="168" fontId="0" fillId="0" borderId="1" applyAlignment="1" pivotButton="0" quotePrefix="0" xfId="0">
      <alignment horizontal="center" vertical="center" wrapText="1"/>
    </xf>
    <xf numFmtId="168" fontId="0" fillId="0" borderId="17" applyAlignment="1" pivotButton="0" quotePrefix="0" xfId="0">
      <alignment horizontal="center" vertical="center" wrapText="1"/>
    </xf>
  </cellXfs>
  <cellStyles count="4">
    <cellStyle name="Normal" xfId="0" builtinId="0"/>
    <cellStyle name="Comma" xfId="1" builtinId="3"/>
    <cellStyle name="Normal 2" xfId="2"/>
    <cellStyle name="Percent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Cash Flow</a:t>
            </a:r>
          </a:p>
        </rich>
      </tx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1"/>
        <ser>
          <idx val="0"/>
          <order val="0"/>
          <tx>
            <strRef>
              <f>'Cash Flow'!$I$2</f>
              <strCache>
                <ptCount val="1"/>
                <pt idx="0">
                  <v>Cumulative cash flow NAD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Pt>
            <idx val="0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/>
                </a:solidFill>
                <a:prstDash val="solid"/>
                <a:round/>
              </a:ln>
            </spPr>
          </dPt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/>
                </a:solidFill>
                <a:prstDash val="solid"/>
                <a:round/>
              </a:ln>
            </spPr>
          </dPt>
          <dPt>
            <idx val="2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/>
                </a:solidFill>
                <a:prstDash val="solid"/>
                <a:round/>
              </a:ln>
            </spPr>
          </dPt>
          <dPt>
            <idx val="3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4"/>
                </a:solidFill>
                <a:prstDash val="solid"/>
                <a:round/>
              </a:ln>
            </spPr>
          </dPt>
          <dPt>
            <idx val="4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5"/>
                </a:solidFill>
                <a:prstDash val="solid"/>
                <a:round/>
              </a:ln>
            </spPr>
          </dPt>
          <dPt>
            <idx val="5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6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dPt>
          <dPt>
            <idx val="7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dPt>
          <dPt>
            <idx val="8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dPt>
          <dPt>
            <idx val="9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dPt>
          <dPt>
            <idx val="10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dPt>
          <dPt>
            <idx val="1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dPt>
          <dPt>
            <idx val="12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3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4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5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6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7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8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9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dPt>
          <dPt>
            <idx val="20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dPt>
          <cat>
            <numRef>
              <f>'Cash Flow'!$A$3:$A$23</f>
              <numCache>
                <formatCode>General</formatCode>
                <ptCount val="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</numCache>
            </numRef>
          </cat>
          <val>
            <numRef>
              <f>'Cash Flow'!$I$3:$I$23</f>
              <numCache>
                <formatCode>#,##0.00</formatCode>
                <ptCount val="21"/>
                <pt idx="0">
                  <v>-3325000</v>
                </pt>
                <pt idx="1">
                  <v>-1701350</v>
                </pt>
                <pt idx="2">
                  <v>-29843.80349999992</v>
                </pt>
                <pt idx="3">
                  <v>1690929.115741302</v>
                </pt>
                <pt idx="4">
                  <v>3462420.85792006</v>
                </pt>
                <pt idx="5">
                  <v>5286126.322532993</v>
                </pt>
                <pt idx="6">
                  <v>7163584.469838552</v>
                </pt>
                <pt idx="7">
                  <v>9096379.619497987</v>
                </pt>
                <pt idx="8">
                  <v>11086142.78749212</v>
                </pt>
                <pt idx="9">
                  <v>13134553.06244195</v>
                </pt>
                <pt idx="10">
                  <v>15243339.0224945</v>
                </pt>
                <pt idx="11">
                  <v>17414280.19396939</v>
                </pt>
                <pt idx="12">
                  <v>19649208.55299712</v>
                </pt>
                <pt idx="13">
                  <v>21950010.07141604</v>
                </pt>
                <pt idx="14">
                  <v>24318626.30823255</v>
                </pt>
                <pt idx="15">
                  <v>26757056.04798742</v>
                </pt>
                <pt idx="16">
                  <v>29267356.98741066</v>
                </pt>
                <pt idx="17">
                  <v>31851647.47178825</v>
                </pt>
                <pt idx="18">
                  <v>34512108.28250583</v>
                </pt>
                <pt idx="19">
                  <v>37250984.47727776</v>
                </pt>
                <pt idx="20">
                  <v>40070587.28461442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777150462962962"/>
              <y val="0.665715873015873"/>
            </manualLayout>
          </layout>
          <overlay val="1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NAD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4152293459783132"/>
              <y val="0.5551383059754338"/>
            </manualLayout>
          </layout>
          <overlay val="1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Net Cash Flow</a:t>
            </a:r>
          </a:p>
        </rich>
      </tx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861208301823376"/>
          <y val="0.06954902658744284"/>
          <w val="0.7825764781671009"/>
          <h val="0.6424004454058395"/>
        </manualLayout>
      </layout>
      <lineChart>
        <grouping val="standard"/>
        <varyColors val="1"/>
        <ser>
          <idx val="0"/>
          <order val="0"/>
          <tx>
            <strRef>
              <f>'Cash Flow'!$F$2</f>
              <strCache>
                <ptCount val="1"/>
                <pt idx="0">
                  <v>Net cash flow NAD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Pt>
            <idx val="0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/>
                </a:solidFill>
                <a:prstDash val="solid"/>
                <a:round/>
              </a:ln>
            </spPr>
          </dPt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/>
                </a:solidFill>
                <a:prstDash val="solid"/>
                <a:round/>
              </a:ln>
            </spPr>
          </dPt>
          <dPt>
            <idx val="2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/>
                </a:solidFill>
                <a:prstDash val="solid"/>
                <a:round/>
              </a:ln>
            </spPr>
          </dPt>
          <dPt>
            <idx val="3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4"/>
                </a:solidFill>
                <a:prstDash val="solid"/>
                <a:round/>
              </a:ln>
            </spPr>
          </dPt>
          <dPt>
            <idx val="4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5"/>
                </a:solidFill>
                <a:prstDash val="solid"/>
                <a:round/>
              </a:ln>
            </spPr>
          </dPt>
          <dPt>
            <idx val="5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6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dPt>
          <dPt>
            <idx val="7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dPt>
          <dPt>
            <idx val="8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dPt>
          <dPt>
            <idx val="9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dPt>
          <dPt>
            <idx val="10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dPt>
          <dPt>
            <idx val="1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dPt>
          <dPt>
            <idx val="12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3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4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5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6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7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8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9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dPt>
          <dPt>
            <idx val="20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dPt>
          <cat>
            <numRef>
              <f>'Cash Flow'!$A$3:$A$23</f>
              <numCache>
                <formatCode>General</formatCode>
                <ptCount val="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</numCache>
            </numRef>
          </cat>
          <val>
            <numRef>
              <f>'Cash Flow'!$F$3:$F$23</f>
              <numCache>
                <formatCode>#,##0.00</formatCode>
                <ptCount val="21"/>
                <pt idx="0">
                  <v>-3325000</v>
                </pt>
                <pt idx="1">
                  <v>1623650</v>
                </pt>
                <pt idx="2">
                  <v>1671506.1965</v>
                </pt>
                <pt idx="3">
                  <v>1720772.919241302</v>
                </pt>
                <pt idx="4">
                  <v>1771491.742178757</v>
                </pt>
                <pt idx="5">
                  <v>1823705.464612932</v>
                </pt>
                <pt idx="6">
                  <v>1877458.147305559</v>
                </pt>
                <pt idx="7">
                  <v>1932795.149659434</v>
                </pt>
                <pt idx="8">
                  <v>1989763.16799413</v>
                </pt>
                <pt idx="9">
                  <v>2048410.274949834</v>
                </pt>
                <pt idx="10">
                  <v>2108785.960052549</v>
                </pt>
                <pt idx="11">
                  <v>2170941.171474892</v>
                </pt>
                <pt idx="12">
                  <v>2234928.359027728</v>
                </pt>
                <pt idx="13">
                  <v>2300801.518418917</v>
                </pt>
                <pt idx="14">
                  <v>2368616.236816512</v>
                </pt>
                <pt idx="15">
                  <v>2438429.739754872</v>
                </pt>
                <pt idx="16">
                  <v>2510300.939423244</v>
                </pt>
                <pt idx="17">
                  <v>2584290.484377588</v>
                </pt>
                <pt idx="18">
                  <v>2660460.810717575</v>
                </pt>
                <pt idx="19">
                  <v>2738876.19477194</v>
                </pt>
                <pt idx="20">
                  <v>2819602.807336658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NAD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01387326584176977"/>
              <y val="0.3389239064877078"/>
            </manualLayout>
          </layout>
          <overlay val="1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Cash Flow</a:t>
            </a:r>
          </a:p>
        </rich>
      </tx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1"/>
        <ser>
          <idx val="0"/>
          <order val="0"/>
          <tx>
            <strRef>
              <f>'Cash Flow'!$I$2</f>
              <strCache>
                <ptCount val="1"/>
                <pt idx="0">
                  <v>Cumulative cash flow NAD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Pt>
            <idx val="0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/>
                </a:solidFill>
                <a:prstDash val="solid"/>
                <a:round/>
              </a:ln>
            </spPr>
          </dPt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/>
                </a:solidFill>
                <a:prstDash val="solid"/>
                <a:round/>
              </a:ln>
            </spPr>
          </dPt>
          <dPt>
            <idx val="2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/>
                </a:solidFill>
                <a:prstDash val="solid"/>
                <a:round/>
              </a:ln>
            </spPr>
          </dPt>
          <dPt>
            <idx val="3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4"/>
                </a:solidFill>
                <a:prstDash val="solid"/>
                <a:round/>
              </a:ln>
            </spPr>
          </dPt>
          <dPt>
            <idx val="4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5"/>
                </a:solidFill>
                <a:prstDash val="solid"/>
                <a:round/>
              </a:ln>
            </spPr>
          </dPt>
          <dPt>
            <idx val="5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6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dPt>
          <dPt>
            <idx val="7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dPt>
          <dPt>
            <idx val="8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dPt>
          <dPt>
            <idx val="9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dPt>
          <dPt>
            <idx val="10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dPt>
          <dPt>
            <idx val="1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dPt>
          <dPt>
            <idx val="12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3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4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5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6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7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8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9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dPt>
          <dPt>
            <idx val="20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dPt>
          <cat>
            <numRef>
              <f>'Cash Flow'!$A$3:$A$23</f>
              <numCache>
                <formatCode>General</formatCode>
                <ptCount val="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</numCache>
            </numRef>
          </cat>
          <val>
            <numRef>
              <f>'Cash Flow'!$I$3:$I$23</f>
              <numCache>
                <formatCode>#,##0.00</formatCode>
                <ptCount val="21"/>
                <pt idx="0">
                  <v>-3325000</v>
                </pt>
                <pt idx="1">
                  <v>-1701350</v>
                </pt>
                <pt idx="2">
                  <v>-29843.80349999992</v>
                </pt>
                <pt idx="3">
                  <v>1690929.115741302</v>
                </pt>
                <pt idx="4">
                  <v>3462420.85792006</v>
                </pt>
                <pt idx="5">
                  <v>5286126.322532993</v>
                </pt>
                <pt idx="6">
                  <v>7163584.469838552</v>
                </pt>
                <pt idx="7">
                  <v>9096379.619497987</v>
                </pt>
                <pt idx="8">
                  <v>11086142.78749212</v>
                </pt>
                <pt idx="9">
                  <v>13134553.06244195</v>
                </pt>
                <pt idx="10">
                  <v>15243339.0224945</v>
                </pt>
                <pt idx="11">
                  <v>17414280.19396939</v>
                </pt>
                <pt idx="12">
                  <v>19649208.55299712</v>
                </pt>
                <pt idx="13">
                  <v>21950010.07141604</v>
                </pt>
                <pt idx="14">
                  <v>24318626.30823255</v>
                </pt>
                <pt idx="15">
                  <v>26757056.04798742</v>
                </pt>
                <pt idx="16">
                  <v>29267356.98741066</v>
                </pt>
                <pt idx="17">
                  <v>31851647.47178825</v>
                </pt>
                <pt idx="18">
                  <v>34512108.28250583</v>
                </pt>
                <pt idx="19">
                  <v>37250984.47727776</v>
                </pt>
                <pt idx="20">
                  <v>40070587.28461442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777150462962962"/>
              <y val="0.665715873015873"/>
            </manualLayout>
          </layout>
          <overlay val="1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NAD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3527777777777778"/>
              <y val="0.4961813492063492"/>
            </manualLayout>
          </layout>
          <overlay val="1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Net Cash Flow</a:t>
            </a:r>
          </a:p>
        </rich>
      </tx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861208301823376"/>
          <y val="0.06954902658744284"/>
          <w val="0.7825764781671009"/>
          <h val="0.6424004454058395"/>
        </manualLayout>
      </layout>
      <lineChart>
        <grouping val="standard"/>
        <varyColors val="1"/>
        <ser>
          <idx val="0"/>
          <order val="0"/>
          <tx>
            <strRef>
              <f>'Cash Flow'!$F$2</f>
              <strCache>
                <ptCount val="1"/>
                <pt idx="0">
                  <v>Net cash flow NAD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Pt>
            <idx val="0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/>
                </a:solidFill>
                <a:prstDash val="solid"/>
                <a:round/>
              </a:ln>
            </spPr>
          </dPt>
          <dPt>
            <idx val="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/>
                </a:solidFill>
                <a:prstDash val="solid"/>
                <a:round/>
              </a:ln>
            </spPr>
          </dPt>
          <dPt>
            <idx val="2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/>
                </a:solidFill>
                <a:prstDash val="solid"/>
                <a:round/>
              </a:ln>
            </spPr>
          </dPt>
          <dPt>
            <idx val="3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4"/>
                </a:solidFill>
                <a:prstDash val="solid"/>
                <a:round/>
              </a:ln>
            </spPr>
          </dPt>
          <dPt>
            <idx val="4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5"/>
                </a:solidFill>
                <a:prstDash val="solid"/>
                <a:round/>
              </a:ln>
            </spPr>
          </dPt>
          <dPt>
            <idx val="5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6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dPt>
          <dPt>
            <idx val="7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dPt>
          <dPt>
            <idx val="8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dPt>
          <dPt>
            <idx val="9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dPt>
          <dPt>
            <idx val="10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dPt>
          <dPt>
            <idx val="11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dPt>
          <dPt>
            <idx val="12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3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4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5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6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7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8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9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dPt>
          <dPt>
            <idx val="20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dPt>
          <cat>
            <numRef>
              <f>'Cash Flow'!$A$3:$A$23</f>
              <numCache>
                <formatCode>General</formatCode>
                <ptCount val="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</numCache>
            </numRef>
          </cat>
          <val>
            <numRef>
              <f>'Cash Flow'!$F$3:$F$23</f>
              <numCache>
                <formatCode>#,##0.00</formatCode>
                <ptCount val="21"/>
                <pt idx="0">
                  <v>-3325000</v>
                </pt>
                <pt idx="1">
                  <v>1623650</v>
                </pt>
                <pt idx="2">
                  <v>1671506.1965</v>
                </pt>
                <pt idx="3">
                  <v>1720772.919241302</v>
                </pt>
                <pt idx="4">
                  <v>1771491.742178757</v>
                </pt>
                <pt idx="5">
                  <v>1823705.464612932</v>
                </pt>
                <pt idx="6">
                  <v>1877458.147305559</v>
                </pt>
                <pt idx="7">
                  <v>1932795.149659434</v>
                </pt>
                <pt idx="8">
                  <v>1989763.16799413</v>
                </pt>
                <pt idx="9">
                  <v>2048410.274949834</v>
                </pt>
                <pt idx="10">
                  <v>2108785.960052549</v>
                </pt>
                <pt idx="11">
                  <v>2170941.171474892</v>
                </pt>
                <pt idx="12">
                  <v>2234928.359027728</v>
                </pt>
                <pt idx="13">
                  <v>2300801.518418917</v>
                </pt>
                <pt idx="14">
                  <v>2368616.236816512</v>
                </pt>
                <pt idx="15">
                  <v>2438429.739754872</v>
                </pt>
                <pt idx="16">
                  <v>2510300.939423244</v>
                </pt>
                <pt idx="17">
                  <v>2584290.484377588</v>
                </pt>
                <pt idx="18">
                  <v>2660460.810717575</v>
                </pt>
                <pt idx="19">
                  <v>2738876.19477194</v>
                </pt>
                <pt idx="20">
                  <v>2819602.807336658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NAD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2939814814814815"/>
              <y val="0.279475"/>
            </manualLayout>
          </layout>
          <overlay val="1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Tariff vs LCOE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Sensitivity!$F$15</f>
              <strCache>
                <ptCount val="1"/>
                <pt idx="0">
                  <v>Year 1 benefit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Sensitivity!$A$16:$A$20</f>
              <strCache>
                <ptCount val="5"/>
                <pt idx="0">
                  <v>Current model</v>
                </pt>
                <pt idx="1">
                  <v>Low grid tariff</v>
                </pt>
                <pt idx="2">
                  <v>High grid tariff</v>
                </pt>
                <pt idx="3">
                  <v>Low solar LCOE</v>
                </pt>
                <pt idx="4">
                  <v>High solar LCOE</v>
                </pt>
              </strCache>
            </strRef>
          </cat>
          <val>
            <numRef>
              <f>Sensitivity!$F$16:$F$20</f>
              <numCache>
                <formatCode>#,##0.00</formatCode>
                <ptCount val="5"/>
                <pt idx="0">
                  <v>1224127.274478762</v>
                </pt>
                <pt idx="1">
                  <v>967227.2744787622</v>
                </pt>
                <pt idx="2">
                  <v>1667227.274478762</v>
                </pt>
                <pt idx="3">
                  <v>956900</v>
                </pt>
                <pt idx="4">
                  <v>396899.9999999999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Scenario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Year 1 Benefit NAD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Tariff vs LCOE Sensitivity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Sensitivity!$F$15</f>
              <strCache>
                <ptCount val="1"/>
                <pt idx="0">
                  <v>Year 1 benefit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Sensitivity!$A$16:$A$20</f>
              <strCache>
                <ptCount val="5"/>
                <pt idx="0">
                  <v>Current model</v>
                </pt>
                <pt idx="1">
                  <v>Low grid tariff</v>
                </pt>
                <pt idx="2">
                  <v>High grid tariff</v>
                </pt>
                <pt idx="3">
                  <v>Low solar LCOE</v>
                </pt>
                <pt idx="4">
                  <v>High solar LCOE</v>
                </pt>
              </strCache>
            </strRef>
          </cat>
          <val>
            <numRef>
              <f>Sensitivity!$F$16:$F$20</f>
              <numCache>
                <formatCode>#,##0.00</formatCode>
                <ptCount val="5"/>
                <pt idx="0">
                  <v>1224127.274478762</v>
                </pt>
                <pt idx="1">
                  <v>967227.2744787622</v>
                </pt>
                <pt idx="2">
                  <v>1667227.274478762</v>
                </pt>
                <pt idx="3">
                  <v>956900</v>
                </pt>
                <pt idx="4">
                  <v>396899.9999999999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Scenario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Year 1 Benefit NAD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38101</colOff>
      <row>25</row>
      <rowOff>28575</rowOff>
    </from>
    <ext cx="4067174" cy="280034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57151</colOff>
      <row>25</row>
      <rowOff>38100</rowOff>
    </from>
    <ext cx="4533900" cy="27771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495300</colOff>
      <row>16</row>
      <rowOff>171450</rowOff>
    </from>
    <ext cx="4462875" cy="27390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33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14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tabSelected="1" workbookViewId="0">
      <selection activeCell="F14" sqref="F14"/>
    </sheetView>
  </sheetViews>
  <sheetFormatPr baseColWidth="8" defaultColWidth="9.140625" defaultRowHeight="14.25"/>
  <cols>
    <col width="4.85546875" customWidth="1" style="24" min="1" max="1"/>
    <col width="7.28515625" customWidth="1" style="24" min="2" max="2"/>
    <col width="12.140625" customWidth="1" style="24" min="3" max="3"/>
    <col width="19.42578125" customWidth="1" style="24" min="4" max="4"/>
    <col width="23.42578125" customWidth="1" style="24" min="5" max="8"/>
    <col width="3.140625" customWidth="1" style="24" min="9" max="9"/>
    <col hidden="1" width="19.140625" customWidth="1" style="24" min="10" max="19"/>
    <col width="19.140625" customWidth="1" style="24" min="20" max="20"/>
    <col width="30.28515625" customWidth="1" style="24" min="21" max="21"/>
    <col width="19.140625" customWidth="1" style="24" min="22" max="23"/>
    <col width="9.140625" customWidth="1" style="24" min="24" max="16384"/>
  </cols>
  <sheetData>
    <row r="1" ht="45" customHeight="1" s="21">
      <c r="A1" s="23" t="n"/>
    </row>
    <row r="2" ht="17.25" customHeight="1" s="21">
      <c r="B2" s="25" t="n"/>
      <c r="C2" s="25" t="n"/>
      <c r="D2" s="25" t="n"/>
      <c r="E2" s="25" t="n"/>
      <c r="F2" s="25" t="n"/>
      <c r="G2" s="25" t="n"/>
      <c r="H2" s="120" t="inlineStr">
        <is>
          <t xml:space="preserve">High Level Grid Tied Solar Feasibility </t>
        </is>
      </c>
    </row>
    <row r="3" ht="19.5" customHeight="1" s="21">
      <c r="F3" s="27" t="n"/>
      <c r="G3" s="27" t="n"/>
      <c r="H3" s="28" t="n"/>
    </row>
    <row r="4" ht="18.75" customHeight="1" s="21">
      <c r="B4" s="29" t="inlineStr">
        <is>
          <t xml:space="preserve">Building Name </t>
        </is>
      </c>
      <c r="C4" s="29" t="n"/>
      <c r="D4" s="30" t="inlineStr">
        <is>
          <t>Black chain,Katutura</t>
        </is>
      </c>
      <c r="F4" s="29" t="inlineStr">
        <is>
          <t xml:space="preserve">Region  </t>
        </is>
      </c>
      <c r="G4" s="30">
        <f>Inputs!B23</f>
        <v/>
      </c>
      <c r="H4" s="31" t="n"/>
    </row>
    <row r="5" ht="18.75" customHeight="1" s="21">
      <c r="B5" s="29" t="inlineStr">
        <is>
          <t>Building Address</t>
        </is>
      </c>
      <c r="C5" s="29" t="n"/>
      <c r="D5" s="30" t="inlineStr">
        <is>
          <t>Street, City</t>
        </is>
      </c>
      <c r="F5" s="29" t="inlineStr">
        <is>
          <t xml:space="preserve">Connection Type </t>
        </is>
      </c>
      <c r="G5" s="30" t="inlineStr">
        <is>
          <t>EL40</t>
        </is>
      </c>
      <c r="H5" s="31" t="n"/>
    </row>
    <row r="6" ht="18.75" customHeight="1" s="21">
      <c r="B6" s="24" t="inlineStr">
        <is>
          <t xml:space="preserve">Building type </t>
        </is>
      </c>
      <c r="C6" s="29" t="n"/>
      <c r="D6" s="30" t="n"/>
      <c r="F6" s="27" t="n"/>
      <c r="G6" s="27" t="n"/>
      <c r="H6" s="31" t="n"/>
    </row>
    <row r="7" ht="18.75" customHeight="1" s="21">
      <c r="B7" s="29" t="inlineStr">
        <is>
          <t>Gross Lettable Area</t>
        </is>
      </c>
      <c r="C7" s="29" t="n"/>
      <c r="D7" s="30" t="n"/>
      <c r="E7" s="30" t="n"/>
      <c r="F7" s="27" t="n"/>
      <c r="G7" s="27" t="n"/>
      <c r="H7" s="31" t="n"/>
    </row>
    <row r="8" ht="18.75" customHeight="1" s="21">
      <c r="B8" s="29" t="inlineStr">
        <is>
          <t>Roof Space Available</t>
        </is>
      </c>
      <c r="C8" s="29" t="n"/>
      <c r="F8" s="27" t="n"/>
      <c r="G8" s="27" t="n"/>
      <c r="H8" s="121" t="n"/>
    </row>
    <row r="9" ht="16.5" customFormat="1" customHeight="1" s="33">
      <c r="B9" s="34" t="n"/>
      <c r="C9" s="34" t="n"/>
      <c r="D9" s="34" t="n"/>
      <c r="E9" s="34" t="n"/>
      <c r="F9" s="34" t="n"/>
      <c r="G9" s="34" t="n"/>
      <c r="H9" s="35" t="inlineStr">
        <is>
          <t>Overview</t>
        </is>
      </c>
    </row>
    <row r="10" ht="15.75" customHeight="1" s="21">
      <c r="E10" s="24" t="inlineStr">
        <is>
          <t>Current (Grid)</t>
        </is>
      </c>
      <c r="F10" s="24" t="inlineStr">
        <is>
          <t>Solar PV Lease</t>
        </is>
      </c>
      <c r="G10" s="24" t="inlineStr">
        <is>
          <t>Solar PV Buy (Outright)</t>
        </is>
      </c>
      <c r="H10" s="24" t="inlineStr">
        <is>
          <t>Solar PV Buy (Green Loan)</t>
        </is>
      </c>
    </row>
    <row r="11" ht="17.25" customHeight="1" s="21">
      <c r="B11" s="29" t="inlineStr">
        <is>
          <t>Levelized cost of Energy</t>
        </is>
      </c>
      <c r="C11" s="29" t="n"/>
      <c r="E11" s="86">
        <f>Inputs!B15</f>
        <v/>
      </c>
      <c r="F11" s="102">
        <f>Inputs!B16</f>
        <v/>
      </c>
      <c r="G11" s="119">
        <f>'Cash Flow'!E25/'Cash Flow'!B24</f>
        <v/>
      </c>
      <c r="H11" s="103">
        <f>(5*E23+'Cash Flow'!E24)/'Cash Flow'!B24</f>
        <v/>
      </c>
    </row>
    <row r="12" ht="17.25" customHeight="1" s="21">
      <c r="B12" s="29" t="inlineStr">
        <is>
          <t>Total Saving per annum (levelized)</t>
        </is>
      </c>
      <c r="F12" s="102">
        <f>Dashboard!B8*('Client Report'!E11-'Client Report'!F11)</f>
        <v/>
      </c>
      <c r="G12" s="118">
        <f>Dashboard!B8*('Client Report'!E11-'Client Report'!G11)</f>
        <v/>
      </c>
      <c r="H12" s="118">
        <f>Dashboard!B8*('Client Report'!E11-'Client Report'!H11)</f>
        <v/>
      </c>
    </row>
    <row r="13" ht="17.25" customHeight="1" s="21">
      <c r="B13" s="29" t="inlineStr">
        <is>
          <t>Total Saving over 20 year project period</t>
        </is>
      </c>
      <c r="F13" s="102">
        <f>SUM('Cash Flow'!D4:D23)-'Cash Flow'!D50</f>
        <v/>
      </c>
      <c r="G13" s="119">
        <f>'Cash Flow'!F24</f>
        <v/>
      </c>
      <c r="H13" s="104">
        <f>'Cash Flow'!I23+Dashboard!B22-5*E23</f>
        <v/>
      </c>
    </row>
    <row r="14" ht="17.25" customHeight="1" s="21">
      <c r="B14" s="29" t="inlineStr">
        <is>
          <t>Internal Rate of Return on Investment</t>
        </is>
      </c>
      <c r="F14" s="105" t="n"/>
      <c r="G14" s="105">
        <f>Dashboard!B19</f>
        <v/>
      </c>
      <c r="H14" s="104" t="n"/>
    </row>
    <row r="15" ht="17.25" customHeight="1" s="21">
      <c r="B15" s="29" t="n"/>
    </row>
    <row r="16" ht="17.25" customHeight="1" s="21">
      <c r="B16" s="29" t="inlineStr">
        <is>
          <t>Total Annual Energy cost (N$)</t>
        </is>
      </c>
      <c r="C16" s="29" t="n"/>
      <c r="D16" s="29" t="n"/>
      <c r="E16" s="122" t="n"/>
      <c r="F16" s="122" t="n"/>
      <c r="G16" s="122" t="n"/>
      <c r="H16" s="122" t="n"/>
    </row>
    <row r="17" ht="17.25" customHeight="1" s="21">
      <c r="B17" s="24" t="inlineStr">
        <is>
          <t>Cost of Energy from grid (Annual N$)</t>
        </is>
      </c>
      <c r="D17" s="39" t="n"/>
      <c r="E17" s="40" t="n"/>
      <c r="F17" s="40" t="n"/>
      <c r="G17" s="40" t="n"/>
      <c r="H17" s="41">
        <f>Inputs!B15*Dashboard!B8</f>
        <v/>
      </c>
    </row>
    <row r="18" ht="17.25" customHeight="1" s="21">
      <c r="B18" s="24" t="inlineStr">
        <is>
          <t>Cost of Energy from Solar (Annual N$)</t>
        </is>
      </c>
      <c r="E18" s="41" t="n">
        <v>0</v>
      </c>
      <c r="F18" s="41" t="n"/>
      <c r="G18" s="41" t="n"/>
      <c r="H18" s="41">
        <f>H11*Dashboard!B8</f>
        <v/>
      </c>
      <c r="J18" s="123" t="n"/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</row>
    <row r="19" ht="17.25" customHeight="1" s="21"/>
    <row r="20" ht="17.25" customHeight="1" s="21">
      <c r="B20" s="43" t="n"/>
      <c r="C20" s="43" t="n"/>
      <c r="D20" s="43" t="n"/>
      <c r="E20" s="43" t="n"/>
      <c r="F20" s="44" t="n"/>
      <c r="G20" s="44" t="n"/>
      <c r="H20" s="45" t="inlineStr">
        <is>
          <t xml:space="preserve">PV System </t>
        </is>
      </c>
    </row>
    <row r="21" ht="7.5" customHeight="1" s="21">
      <c r="B21" s="29" t="n"/>
      <c r="C21" s="29" t="n"/>
      <c r="F21" s="46" t="n"/>
      <c r="G21" s="46" t="n"/>
      <c r="H21" s="123" t="n"/>
    </row>
    <row r="22" ht="16.5" customHeight="1" s="21">
      <c r="B22" s="47" t="inlineStr">
        <is>
          <t>Total PV system cost including consulting fees (N$)</t>
        </is>
      </c>
      <c r="C22" s="37" t="n"/>
      <c r="D22" s="37" t="n"/>
      <c r="E22" s="37" t="n"/>
      <c r="F22" s="37" t="n"/>
      <c r="G22" s="37" t="n"/>
      <c r="H22" s="37" t="n"/>
    </row>
    <row r="23" ht="16.5" customHeight="1" s="21">
      <c r="B23" s="24" t="inlineStr">
        <is>
          <t>Green loan repayment (N$ per annum)</t>
        </is>
      </c>
      <c r="C23" s="37" t="n"/>
      <c r="D23" s="37" t="n"/>
      <c r="E23" s="106">
        <f>(Dashboard!B22*'Client Report'!G24)/'Client Report'!D24</f>
        <v/>
      </c>
      <c r="F23" s="37" t="n"/>
      <c r="G23" s="37" t="n"/>
      <c r="H23" s="37" t="n"/>
    </row>
    <row r="24" ht="16.5" customHeight="1" s="21">
      <c r="B24" s="24" t="inlineStr">
        <is>
          <t>Green loan terms</t>
        </is>
      </c>
      <c r="C24" s="37" t="n"/>
      <c r="D24" s="37" t="n">
        <v>5</v>
      </c>
      <c r="E24" s="106" t="inlineStr">
        <is>
          <t>years</t>
        </is>
      </c>
      <c r="F24" s="37" t="n"/>
      <c r="G24" s="37" t="n">
        <v>1.105</v>
      </c>
      <c r="H24" s="37" t="inlineStr">
        <is>
          <t>% interest</t>
        </is>
      </c>
    </row>
    <row r="25" ht="16.5" customHeight="1" s="21">
      <c r="C25" s="37" t="n"/>
      <c r="D25" s="37" t="n"/>
      <c r="E25" s="37" t="n"/>
      <c r="F25" s="37" t="n"/>
      <c r="G25" s="37" t="n"/>
      <c r="H25" s="37" t="n"/>
    </row>
    <row r="26" ht="17.25" customHeight="1" s="21">
      <c r="B26" s="48" t="n"/>
      <c r="C26" s="49" t="n"/>
      <c r="D26" s="49" t="n"/>
      <c r="E26" s="50" t="n"/>
      <c r="F26" s="51" t="n"/>
      <c r="G26" s="51" t="n"/>
      <c r="H26" s="52" t="n"/>
    </row>
    <row r="27" ht="15" customHeight="1" s="21">
      <c r="B27" s="53" t="n"/>
      <c r="C27" s="54" t="inlineStr">
        <is>
          <t>Graph cumulative savings</t>
        </is>
      </c>
      <c r="D27" s="37" t="n"/>
      <c r="E27" s="55" t="n"/>
      <c r="F27" s="56" t="n"/>
      <c r="G27" s="56" t="n"/>
      <c r="H27" s="57" t="n"/>
    </row>
    <row r="28" ht="15" customHeight="1" s="21">
      <c r="B28" s="53" t="n"/>
      <c r="C28" s="56" t="n"/>
      <c r="D28" s="37" t="n"/>
      <c r="E28" s="55" t="n"/>
      <c r="F28" s="58" t="n"/>
      <c r="G28" s="58" t="n"/>
      <c r="H28" s="124" t="n"/>
    </row>
    <row r="29" ht="15" customHeight="1" s="21">
      <c r="B29" s="60" t="n"/>
      <c r="C29" s="37" t="n"/>
      <c r="D29" s="37" t="n"/>
      <c r="E29" s="61" t="n"/>
      <c r="F29" s="62" t="n"/>
      <c r="G29" s="62" t="n"/>
      <c r="H29" s="61" t="n"/>
    </row>
    <row r="30" ht="15" customHeight="1" s="21">
      <c r="B30" s="63" t="n"/>
      <c r="C30" s="64" t="n"/>
      <c r="D30" s="64" t="n"/>
      <c r="E30" s="65" t="n"/>
      <c r="F30" s="66" t="n"/>
      <c r="G30" s="66" t="n"/>
      <c r="H30" s="65" t="n"/>
    </row>
    <row r="31" ht="15" customHeight="1" s="21">
      <c r="B31" s="63" t="n"/>
      <c r="C31" s="64" t="n"/>
      <c r="D31" s="64" t="n"/>
      <c r="E31" s="65" t="n"/>
      <c r="F31" s="66" t="n"/>
      <c r="G31" s="66" t="n"/>
      <c r="H31" s="65" t="n"/>
    </row>
    <row r="32" ht="15" customHeight="1" s="21">
      <c r="B32" s="67" t="n"/>
      <c r="D32" s="64" t="n"/>
      <c r="E32" s="65" t="n"/>
      <c r="F32" s="66" t="n"/>
      <c r="G32" s="66" t="n"/>
      <c r="H32" s="65" t="n"/>
    </row>
    <row r="33" ht="14.25" customFormat="1" customHeight="1" s="69">
      <c r="B33" s="68" t="n"/>
      <c r="D33" s="70" t="n"/>
      <c r="E33" s="71" t="n"/>
      <c r="F33" s="70" t="n"/>
      <c r="G33" s="70" t="n"/>
      <c r="H33" s="65" t="n"/>
      <c r="I33" s="70" t="n"/>
      <c r="J33" s="70" t="n"/>
      <c r="K33" s="70" t="n"/>
      <c r="L33" s="70" t="n"/>
      <c r="M33" s="70" t="n"/>
      <c r="N33" s="70" t="n"/>
      <c r="O33" s="70" t="n"/>
      <c r="P33" s="70" t="n"/>
      <c r="Q33" s="70" t="n"/>
      <c r="R33" s="70" t="n"/>
      <c r="S33" s="70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4.25" customFormat="1" customHeight="1" s="69">
      <c r="B34" s="68" t="n"/>
      <c r="D34" s="70" t="n"/>
      <c r="E34" s="71" t="n"/>
      <c r="F34" s="70" t="n"/>
      <c r="G34" s="70" t="n"/>
      <c r="H34" s="65" t="n"/>
      <c r="I34" s="70" t="n"/>
      <c r="J34" s="70" t="n"/>
      <c r="K34" s="70" t="n"/>
      <c r="L34" s="70" t="n"/>
      <c r="M34" s="70" t="n"/>
      <c r="N34" s="70" t="n"/>
      <c r="O34" s="70" t="n"/>
      <c r="P34" s="70" t="n"/>
      <c r="Q34" s="70" t="n"/>
      <c r="R34" s="70" t="n"/>
      <c r="S34" s="70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4.25" customFormat="1" customHeight="1" s="69">
      <c r="B35" s="68" t="n"/>
      <c r="D35" s="70" t="n"/>
      <c r="E35" s="71" t="n"/>
      <c r="F35" s="70" t="n"/>
      <c r="G35" s="70" t="n"/>
      <c r="H35" s="65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70" t="n"/>
      <c r="R35" s="70" t="n"/>
      <c r="S35" s="70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n"/>
      <c r="AD35" s="70" t="n"/>
      <c r="AE35" s="70" t="n"/>
      <c r="AF35" s="70" t="n"/>
      <c r="AG35" s="70" t="n"/>
      <c r="AH35" s="70" t="n"/>
      <c r="AI35" s="70" t="n"/>
    </row>
    <row r="36" ht="13.5" customFormat="1" customHeight="1" s="69">
      <c r="B36" s="68" t="n"/>
      <c r="D36" s="72" t="n"/>
      <c r="E36" s="73" t="n"/>
      <c r="F36" s="72" t="n"/>
      <c r="G36" s="72" t="n"/>
      <c r="H36" s="74" t="n"/>
      <c r="I36" s="72" t="n"/>
      <c r="J36" s="72" t="n"/>
      <c r="K36" s="75" t="n"/>
      <c r="L36" s="75" t="n"/>
      <c r="M36" s="75" t="n"/>
      <c r="N36" s="75" t="n"/>
      <c r="O36" s="75" t="n"/>
      <c r="P36" s="75" t="n"/>
      <c r="Q36" s="75" t="n"/>
      <c r="R36" s="75" t="n"/>
      <c r="U36" s="72" t="n"/>
      <c r="V36" s="72" t="n"/>
      <c r="W36" s="72" t="n"/>
      <c r="X36" s="72" t="n"/>
      <c r="Y36" s="72" t="n"/>
      <c r="Z36" s="72" t="n"/>
      <c r="AA36" s="75" t="n"/>
      <c r="AB36" s="75" t="n"/>
      <c r="AC36" s="75" t="n"/>
      <c r="AD36" s="75" t="n"/>
      <c r="AE36" s="75" t="n"/>
      <c r="AF36" s="75" t="n"/>
      <c r="AG36" s="75" t="n"/>
      <c r="AH36" s="75" t="n"/>
      <c r="AI36" s="76" t="n"/>
    </row>
    <row r="37" ht="13.5" customFormat="1" customHeight="1" s="69">
      <c r="B37" s="77" t="n"/>
      <c r="C37" s="70" t="n"/>
      <c r="D37" s="72" t="n"/>
      <c r="E37" s="78" t="n"/>
      <c r="H37" s="74" t="n"/>
      <c r="I37" s="72" t="n"/>
      <c r="J37" s="72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6" t="n"/>
      <c r="T37" s="72" t="n"/>
      <c r="U37" s="72" t="n"/>
      <c r="V37" s="72" t="n"/>
      <c r="W37" s="72" t="n"/>
      <c r="X37" s="72" t="n"/>
      <c r="Y37" s="72" t="n"/>
      <c r="Z37" s="72" t="n"/>
      <c r="AA37" s="79" t="n"/>
      <c r="AB37" s="79" t="n"/>
      <c r="AC37" s="79" t="n"/>
      <c r="AD37" s="79" t="n"/>
      <c r="AE37" s="79" t="n"/>
      <c r="AF37" s="79" t="n"/>
      <c r="AG37" s="79" t="n"/>
      <c r="AH37" s="79" t="n"/>
      <c r="AI37" s="76" t="n"/>
    </row>
    <row r="38" ht="19.5" customHeight="1" s="21">
      <c r="B38" s="80" t="n"/>
      <c r="C38" s="36" t="n"/>
      <c r="D38" s="36" t="n"/>
      <c r="E38" s="81" t="n"/>
      <c r="F38" s="36" t="n"/>
      <c r="G38" s="36" t="n"/>
      <c r="H38" s="81" t="n"/>
      <c r="J38" s="82" t="n"/>
      <c r="K38" s="82" t="n"/>
    </row>
    <row r="39">
      <c r="B39" s="80" t="n"/>
      <c r="C39" s="36" t="n"/>
      <c r="D39" s="36" t="n"/>
      <c r="E39" s="81" t="n"/>
      <c r="F39" s="36" t="n"/>
      <c r="G39" s="36" t="n"/>
      <c r="H39" s="81" t="n"/>
    </row>
    <row r="40">
      <c r="B40" s="83" t="n"/>
      <c r="C40" s="84" t="n"/>
      <c r="D40" s="84" t="n"/>
      <c r="E40" s="85" t="n"/>
      <c r="F40" s="84" t="n"/>
      <c r="G40" s="84" t="n"/>
      <c r="H40" s="85" t="n"/>
    </row>
    <row r="41">
      <c r="G41" s="24" t="inlineStr">
        <is>
          <t>Outright Purchase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2" topLeftCell="A3" activePane="bottomLeft" state="frozen"/>
      <selection pane="bottomLeft" activeCell="B22" sqref="B22"/>
    </sheetView>
  </sheetViews>
  <sheetFormatPr baseColWidth="8" defaultRowHeight="15"/>
  <cols>
    <col width="34" customWidth="1" style="21" min="1" max="1"/>
    <col width="18" customWidth="1" style="21" min="2" max="3"/>
    <col width="38" customWidth="1" style="21" min="4" max="4"/>
  </cols>
  <sheetData>
    <row r="1">
      <c r="A1" s="20" t="inlineStr">
        <is>
          <t>Solar PV Feasibility Dashboard</t>
        </is>
      </c>
    </row>
    <row r="3">
      <c r="A3" s="1" t="inlineStr">
        <is>
          <t>Metric</t>
        </is>
      </c>
      <c r="B3" s="1" t="inlineStr">
        <is>
          <t>Value</t>
        </is>
      </c>
      <c r="C3" s="1" t="inlineStr">
        <is>
          <t>Unit</t>
        </is>
      </c>
      <c r="D3" s="1" t="inlineStr">
        <is>
          <t>Basis</t>
        </is>
      </c>
    </row>
    <row r="4">
      <c r="A4" s="2" t="inlineStr">
        <is>
          <t>Selected region</t>
        </is>
      </c>
      <c r="B4" s="3">
        <f>Inputs!B23</f>
        <v/>
      </c>
      <c r="C4" s="2" t="n"/>
      <c r="D4" s="2" t="inlineStr">
        <is>
          <t>Dropdown on Inputs sheet</t>
        </is>
      </c>
    </row>
    <row r="5">
      <c r="A5" s="2" t="inlineStr">
        <is>
          <t>Regional kWh/kWp/year used</t>
        </is>
      </c>
      <c r="B5" s="4">
        <f>Inputs!B14</f>
        <v/>
      </c>
      <c r="C5" s="2" t="inlineStr">
        <is>
          <t>kWh/kWp/year</t>
        </is>
      </c>
      <c r="D5" s="2" t="inlineStr">
        <is>
          <t>Auto pulled from Region Yields sheet</t>
        </is>
      </c>
    </row>
    <row r="6" ht="30" customHeight="1" s="21">
      <c r="A6" s="2" t="inlineStr">
        <is>
          <t>Model PV size</t>
        </is>
      </c>
      <c r="B6" s="3">
        <f>Inputs!B31</f>
        <v/>
      </c>
      <c r="C6" s="2" t="inlineStr">
        <is>
          <t>kWp</t>
        </is>
      </c>
      <c r="D6" s="2" t="inlineStr">
        <is>
          <t>Minimum of desired, breaker and roof limit</t>
        </is>
      </c>
    </row>
    <row r="7">
      <c r="A7" s="2" t="inlineStr">
        <is>
          <t>No. of panels</t>
        </is>
      </c>
      <c r="B7" s="4">
        <f>Inputs!B32</f>
        <v/>
      </c>
      <c r="C7" s="2" t="inlineStr">
        <is>
          <t>panels</t>
        </is>
      </c>
      <c r="D7" s="2" t="inlineStr">
        <is>
          <t>Default setup gives 703 panels</t>
        </is>
      </c>
    </row>
    <row r="8">
      <c r="A8" s="2" t="inlineStr">
        <is>
          <t>Year 1 energy (kWh)</t>
        </is>
      </c>
      <c r="B8" s="4">
        <f>Inputs!B34</f>
        <v/>
      </c>
      <c r="C8" s="2" t="inlineStr">
        <is>
          <t>kWh</t>
        </is>
      </c>
      <c r="D8" s="2" t="inlineStr">
        <is>
          <t>PV size × selected region yield</t>
        </is>
      </c>
    </row>
    <row r="9">
      <c r="A9" s="2" t="inlineStr">
        <is>
          <t>Roof area required (m²)</t>
        </is>
      </c>
      <c r="B9" s="3">
        <f>Inputs!B35</f>
        <v/>
      </c>
      <c r="C9" s="2" t="inlineStr">
        <is>
          <t>m²</t>
        </is>
      </c>
      <c r="D9" s="2" t="inlineStr">
        <is>
          <t>Panels × panel area ÷ roof factor</t>
        </is>
      </c>
    </row>
    <row r="10">
      <c r="A10" s="2" t="inlineStr">
        <is>
          <t>Area needed</t>
        </is>
      </c>
      <c r="B10" s="3">
        <f>Inputs!B35</f>
        <v/>
      </c>
      <c r="C10" s="2" t="inlineStr">
        <is>
          <t>m²</t>
        </is>
      </c>
      <c r="D10" s="2" t="inlineStr">
        <is>
          <t>Same as roof area required</t>
        </is>
      </c>
    </row>
    <row r="11">
      <c r="A11" s="2" t="inlineStr">
        <is>
          <t>Year 1 cost of energy from grid</t>
        </is>
      </c>
      <c r="B11" s="3">
        <f>Inputs!B36</f>
        <v/>
      </c>
      <c r="C11" s="2" t="inlineStr">
        <is>
          <t>NAD</t>
        </is>
      </c>
      <c r="D11" s="2" t="inlineStr">
        <is>
          <t>Year 1 energy × grid tariff</t>
        </is>
      </c>
    </row>
    <row r="12">
      <c r="A12" s="2" t="inlineStr">
        <is>
          <t>Year 1 cost of energy from solar</t>
        </is>
      </c>
      <c r="B12" s="3">
        <f>Inputs!B38</f>
        <v/>
      </c>
      <c r="C12" s="2" t="inlineStr">
        <is>
          <t>NAD</t>
        </is>
      </c>
      <c r="D12" s="2" t="inlineStr">
        <is>
          <t>Year 1 energy × calculated solar LCOE</t>
        </is>
      </c>
    </row>
    <row r="13">
      <c r="A13" s="2" t="inlineStr">
        <is>
          <t>Year 1 gross savings (NAD)</t>
        </is>
      </c>
      <c r="B13" s="3">
        <f>Inputs!B39</f>
        <v/>
      </c>
      <c r="C13" s="2" t="inlineStr">
        <is>
          <t>NAD</t>
        </is>
      </c>
      <c r="D13" s="2" t="inlineStr">
        <is>
          <t>Avoided grid cost before O&amp;M</t>
        </is>
      </c>
    </row>
    <row r="14">
      <c r="A14" s="2" t="inlineStr">
        <is>
          <t>Year 1 O&amp;M (NAD)</t>
        </is>
      </c>
      <c r="B14" s="3">
        <f>Inputs!B40</f>
        <v/>
      </c>
      <c r="C14" s="2" t="inlineStr">
        <is>
          <t>NAD</t>
        </is>
      </c>
      <c r="D14" s="2" t="inlineStr">
        <is>
          <t>1% of capital cost by default</t>
        </is>
      </c>
    </row>
    <row r="15">
      <c r="A15" s="2" t="inlineStr">
        <is>
          <t>Year 1 net savings (NAD)</t>
        </is>
      </c>
      <c r="B15" s="3">
        <f>Inputs!B41</f>
        <v/>
      </c>
      <c r="C15" s="2" t="inlineStr">
        <is>
          <t>NAD</t>
        </is>
      </c>
      <c r="D15" s="2" t="inlineStr">
        <is>
          <t>Gross savings minus O&amp;M</t>
        </is>
      </c>
    </row>
    <row r="16">
      <c r="A16" s="2" t="inlineStr">
        <is>
          <t>Cost from grid</t>
        </is>
      </c>
      <c r="B16" s="5">
        <f>Inputs!B15</f>
        <v/>
      </c>
      <c r="C16" s="2" t="inlineStr">
        <is>
          <t>NAD/kWh</t>
        </is>
      </c>
      <c r="D16" s="2" t="inlineStr">
        <is>
          <t>Current grid tariff</t>
        </is>
      </c>
    </row>
    <row r="17">
      <c r="A17" s="2" t="inlineStr">
        <is>
          <t>Cost of energy from solar</t>
        </is>
      </c>
      <c r="B17" s="5">
        <f>'Cash Flow'!L6</f>
        <v/>
      </c>
      <c r="C17" s="2" t="inlineStr">
        <is>
          <t>NAD/kWh</t>
        </is>
      </c>
      <c r="D17" s="2" t="inlineStr">
        <is>
          <t>Calculated discounted LCOE</t>
        </is>
      </c>
    </row>
    <row r="18">
      <c r="A18" s="2" t="inlineStr">
        <is>
          <t>Tariff less solar LCOE</t>
        </is>
      </c>
      <c r="B18" s="5">
        <f>'Cash Flow'!L8</f>
        <v/>
      </c>
      <c r="C18" s="2" t="inlineStr">
        <is>
          <t>NAD/kWh</t>
        </is>
      </c>
      <c r="D18" s="2" t="inlineStr">
        <is>
          <t>Positive means solar is cheaper per kWh</t>
        </is>
      </c>
    </row>
    <row r="19" ht="30" customHeight="1" s="21">
      <c r="A19" s="2" t="inlineStr">
        <is>
          <t>IRR</t>
        </is>
      </c>
      <c r="B19" s="6">
        <f>'Cash Flow'!L4</f>
        <v/>
      </c>
      <c r="C19" s="2" t="inlineStr">
        <is>
          <t>%</t>
        </is>
      </c>
      <c r="D19" s="2" t="inlineStr">
        <is>
          <t>Internal rate of return based on year 0 to year 20 net cash flow</t>
        </is>
      </c>
    </row>
    <row r="20" ht="21.75" customHeight="1" s="21">
      <c r="A20" s="2" t="inlineStr">
        <is>
          <t>Payback year</t>
        </is>
      </c>
      <c r="B20" s="4">
        <f>'Cash Flow'!L5</f>
        <v/>
      </c>
      <c r="C20" s="2" t="inlineStr">
        <is>
          <t>year</t>
        </is>
      </c>
      <c r="D20" s="2" t="inlineStr">
        <is>
          <t>First year cumulative cash flow becomes positive</t>
        </is>
      </c>
    </row>
    <row r="21">
      <c r="A21" s="2" t="inlineStr">
        <is>
          <t>NPV</t>
        </is>
      </c>
      <c r="B21" s="3">
        <f>'Cash Flow'!L3</f>
        <v/>
      </c>
      <c r="C21" s="2" t="inlineStr">
        <is>
          <t>NAD</t>
        </is>
      </c>
      <c r="D21" s="2" t="inlineStr">
        <is>
          <t>Discounted net cash flow</t>
        </is>
      </c>
    </row>
    <row r="22">
      <c r="A22" s="2" t="inlineStr">
        <is>
          <t>Capital cost</t>
        </is>
      </c>
      <c r="B22" s="3">
        <f>Inputs!B33</f>
        <v/>
      </c>
      <c r="C22" s="2" t="inlineStr">
        <is>
          <t>NAD</t>
        </is>
      </c>
      <c r="D22" s="2" t="inlineStr">
        <is>
          <t>PV size × installed cost</t>
        </is>
      </c>
    </row>
    <row r="26">
      <c r="A26" s="20" t="inlineStr">
        <is>
          <t>Tariff vs LCOE Sensitivity</t>
        </is>
      </c>
    </row>
    <row r="27">
      <c r="A27" s="7" t="inlineStr">
        <is>
          <t>Scenario</t>
        </is>
      </c>
      <c r="B27" s="7" t="inlineStr">
        <is>
          <t>Grid tariff</t>
        </is>
      </c>
      <c r="C27" s="7" t="inlineStr">
        <is>
          <t>Solar LCOE</t>
        </is>
      </c>
      <c r="D27" s="7" t="inlineStr">
        <is>
          <t>Year 1 benefit</t>
        </is>
      </c>
    </row>
    <row r="28">
      <c r="A28" s="2">
        <f>Sensitivity!A16</f>
        <v/>
      </c>
      <c r="B28" s="5">
        <f>Inputs!B15</f>
        <v/>
      </c>
      <c r="C28" s="5">
        <f>Sensitivity!C16</f>
        <v/>
      </c>
      <c r="D28" s="3">
        <f>Sensitivity!F16</f>
        <v/>
      </c>
    </row>
    <row r="29">
      <c r="A29" s="2">
        <f>Sensitivity!A17</f>
        <v/>
      </c>
      <c r="B29" s="5">
        <f>Sensitivity!B17</f>
        <v/>
      </c>
      <c r="C29" s="5">
        <f>Sensitivity!C17</f>
        <v/>
      </c>
      <c r="D29" s="3">
        <f>Sensitivity!F17</f>
        <v/>
      </c>
    </row>
    <row r="30">
      <c r="A30" s="2">
        <f>Sensitivity!A18</f>
        <v/>
      </c>
      <c r="B30" s="5">
        <f>Sensitivity!B18</f>
        <v/>
      </c>
      <c r="C30" s="5">
        <f>Sensitivity!C18</f>
        <v/>
      </c>
      <c r="D30" s="3">
        <f>Sensitivity!F18</f>
        <v/>
      </c>
    </row>
    <row r="31">
      <c r="A31" s="2">
        <f>Sensitivity!A19</f>
        <v/>
      </c>
      <c r="B31" s="5">
        <f>Sensitivity!B19</f>
        <v/>
      </c>
      <c r="C31" s="5">
        <f>Sensitivity!C19</f>
        <v/>
      </c>
      <c r="D31" s="3">
        <f>Sensitivity!F19</f>
        <v/>
      </c>
    </row>
    <row r="32">
      <c r="A32" s="2">
        <f>Sensitivity!A20</f>
        <v/>
      </c>
      <c r="B32" s="5">
        <f>Sensitivity!B20</f>
        <v/>
      </c>
      <c r="C32" s="5">
        <f>Sensitivity!C20</f>
        <v/>
      </c>
      <c r="D32" s="3">
        <f>Sensitivity!F20</f>
        <v/>
      </c>
    </row>
  </sheetData>
  <mergeCells count="2">
    <mergeCell ref="A1:D1"/>
    <mergeCell ref="A26:D2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ySplit="4" topLeftCell="A5" activePane="bottomLeft" state="frozen"/>
      <selection pane="bottomLeft" activeCell="B10" sqref="B10"/>
    </sheetView>
  </sheetViews>
  <sheetFormatPr baseColWidth="8" defaultRowHeight="15"/>
  <cols>
    <col width="35" customWidth="1" style="21" min="1" max="1"/>
    <col width="38" customWidth="1" style="21" min="2" max="2"/>
    <col width="22" customWidth="1" style="21" min="3" max="3"/>
    <col width="38" customWidth="1" style="21" min="4" max="4"/>
  </cols>
  <sheetData>
    <row r="1">
      <c r="A1" s="20" t="inlineStr">
        <is>
          <t>Solar PV Feasibility Study Inputs</t>
        </is>
      </c>
    </row>
    <row r="2">
      <c r="A2" s="20" t="inlineStr">
        <is>
          <t>ConnectionType</t>
        </is>
      </c>
      <c r="B2">
        <f>'Client Report'!G5</f>
        <v/>
      </c>
    </row>
    <row r="3">
      <c r="A3" s="20" t="inlineStr">
        <is>
          <t>Location</t>
        </is>
      </c>
      <c r="B3">
        <f>'Client Report'!D4</f>
        <v/>
      </c>
    </row>
    <row r="4">
      <c r="A4" s="1" t="inlineStr">
        <is>
          <t>Input</t>
        </is>
      </c>
      <c r="B4" s="1" t="inlineStr">
        <is>
          <t>Value</t>
        </is>
      </c>
      <c r="C4" s="1" t="inlineStr">
        <is>
          <t>Unit</t>
        </is>
      </c>
      <c r="D4" s="1" t="inlineStr">
        <is>
          <t>Note</t>
        </is>
      </c>
    </row>
    <row r="5">
      <c r="A5" s="2" t="inlineStr">
        <is>
          <t>Main breaker rating</t>
        </is>
      </c>
      <c r="B5" s="8" t="n">
        <v>1000</v>
      </c>
      <c r="C5" s="2" t="inlineStr">
        <is>
          <t>A</t>
        </is>
      </c>
      <c r="D5" s="2" t="inlineStr">
        <is>
          <t>Editable</t>
        </is>
      </c>
    </row>
    <row r="6" ht="30" customHeight="1" s="21">
      <c r="A6" s="2" t="inlineStr">
        <is>
          <t>System voltage</t>
        </is>
      </c>
      <c r="B6" s="8" t="n">
        <v>400</v>
      </c>
      <c r="C6" s="2" t="inlineStr">
        <is>
          <t>V</t>
        </is>
      </c>
      <c r="D6" s="2" t="inlineStr">
        <is>
          <t>Use 400 V for 3-phase. Use 230 V for single-phase.</t>
        </is>
      </c>
    </row>
    <row r="7">
      <c r="A7" s="2" t="inlineStr">
        <is>
          <t>Power factor</t>
        </is>
      </c>
      <c r="B7" s="9" t="n">
        <v>0.9</v>
      </c>
      <c r="C7" s="2" t="n"/>
      <c r="D7" s="2" t="inlineStr">
        <is>
          <t>Editable</t>
        </is>
      </c>
    </row>
    <row r="8" ht="30" customHeight="1" s="21">
      <c r="A8" s="2" t="inlineStr">
        <is>
          <t>Margin</t>
        </is>
      </c>
      <c r="B8" s="9" t="n">
        <v>0.2</v>
      </c>
      <c r="C8" s="2" t="n"/>
      <c r="D8" s="2" t="inlineStr">
        <is>
          <t>Editable design margin deducted from breaker capacity</t>
        </is>
      </c>
    </row>
    <row r="9" ht="30" customHeight="1" s="21">
      <c r="A9" s="2" t="inlineStr">
        <is>
          <t>Desired PV size</t>
        </is>
      </c>
      <c r="B9" s="10" t="n">
        <v>350</v>
      </c>
      <c r="C9" s="2" t="inlineStr">
        <is>
          <t>kWp</t>
        </is>
      </c>
      <c r="D9" s="2" t="inlineStr">
        <is>
          <t>Default gives 703 panels with 550 W panels</t>
        </is>
      </c>
    </row>
    <row r="10">
      <c r="A10" s="2" t="inlineStr">
        <is>
          <t>Panel power</t>
        </is>
      </c>
      <c r="B10" s="8" t="n">
        <v>550</v>
      </c>
      <c r="C10" s="2" t="inlineStr">
        <is>
          <t>W</t>
        </is>
      </c>
      <c r="D10" s="2" t="inlineStr">
        <is>
          <t>Editable panel/module rating</t>
        </is>
      </c>
    </row>
    <row r="11">
      <c r="A11" s="2" t="inlineStr">
        <is>
          <t>Area available</t>
        </is>
      </c>
      <c r="B11" s="8" t="n">
        <v>3000</v>
      </c>
      <c r="C11" s="2" t="inlineStr">
        <is>
          <t>m²</t>
        </is>
      </c>
      <c r="D11" s="2" t="inlineStr">
        <is>
          <t>Editable available roof/ground area</t>
        </is>
      </c>
    </row>
    <row r="12">
      <c r="A12" s="2" t="inlineStr">
        <is>
          <t>Panel area</t>
        </is>
      </c>
      <c r="B12" s="10" t="n">
        <v>2.6</v>
      </c>
      <c r="C12" s="2" t="inlineStr">
        <is>
          <t>m²/panel</t>
        </is>
      </c>
      <c r="D12" s="2" t="inlineStr">
        <is>
          <t>Editable panel area</t>
        </is>
      </c>
    </row>
    <row r="13" ht="30" customHeight="1" s="21">
      <c r="A13" s="2" t="inlineStr">
        <is>
          <t>Roof factor</t>
        </is>
      </c>
      <c r="B13" s="10" t="n">
        <v>0.75</v>
      </c>
      <c r="C13" s="2" t="n"/>
      <c r="D13" s="2" t="inlineStr">
        <is>
          <t>Allowance for setbacks, access ways and unusable roof area</t>
        </is>
      </c>
    </row>
    <row r="14">
      <c r="A14" s="2" t="inlineStr">
        <is>
          <t>Specific yield</t>
        </is>
      </c>
      <c r="B14" s="10">
        <f>INDEX('Region Yields'!$B$3:$B$6,MATCH($B$23,'Region Yields'!$A$3:$A$6,0))</f>
        <v/>
      </c>
      <c r="C14" s="2" t="inlineStr">
        <is>
          <t>kWh/kWp/year</t>
        </is>
      </c>
      <c r="D14" s="2" t="inlineStr">
        <is>
          <t>Auto-populates from selected region</t>
        </is>
      </c>
    </row>
    <row r="15">
      <c r="A15" s="2" t="inlineStr">
        <is>
          <t>Grid Tariff</t>
        </is>
      </c>
      <c r="B15" s="11" t="n">
        <v>2.367</v>
      </c>
      <c r="C15" s="2" t="inlineStr">
        <is>
          <t>NAD/kWh</t>
        </is>
      </c>
      <c r="D15" s="2" t="inlineStr">
        <is>
          <t>Editable current grid energy tariff</t>
        </is>
      </c>
    </row>
    <row r="16">
      <c r="A16" s="2" t="inlineStr">
        <is>
          <t>Lease/PPA tariff</t>
        </is>
      </c>
      <c r="B16" s="11" t="n">
        <v>1.749</v>
      </c>
      <c r="C16" s="2" t="inlineStr">
        <is>
          <t>NAD/kWh</t>
        </is>
      </c>
      <c r="D16" s="2" t="inlineStr">
        <is>
          <t>Editable lease/PPA tariff (linked to Cash Flow lease model)</t>
        </is>
      </c>
    </row>
    <row r="17">
      <c r="A17" s="2" t="inlineStr">
        <is>
          <t>Tariff escalation</t>
        </is>
      </c>
      <c r="B17" s="9" t="n">
        <v>0.03</v>
      </c>
      <c r="C17" s="2" t="n"/>
      <c r="D17" s="2" t="inlineStr">
        <is>
          <t>Editable. 0.03 = 3% per year</t>
        </is>
      </c>
    </row>
    <row r="18">
      <c r="A18" s="2" t="inlineStr">
        <is>
          <t>Installed cost</t>
        </is>
      </c>
      <c r="B18" s="11" t="n">
        <v>9500</v>
      </c>
      <c r="C18" s="2" t="inlineStr">
        <is>
          <t>NAD/kWp</t>
        </is>
      </c>
      <c r="D18" s="2" t="inlineStr">
        <is>
          <t>Editable installed cost</t>
        </is>
      </c>
    </row>
    <row r="19">
      <c r="A19" s="2" t="inlineStr">
        <is>
          <t>O&amp;M</t>
        </is>
      </c>
      <c r="B19" s="9" t="n">
        <v>0.01</v>
      </c>
      <c r="C19" s="2" t="inlineStr">
        <is>
          <t>of capital cost/year</t>
        </is>
      </c>
      <c r="D19" s="2" t="inlineStr">
        <is>
          <t>Editable. 0.01 = 1% of capital cost</t>
        </is>
      </c>
    </row>
    <row r="20">
      <c r="A20" s="2" t="inlineStr">
        <is>
          <t>PV degradation</t>
        </is>
      </c>
      <c r="B20" s="9" t="n">
        <v>0.005</v>
      </c>
      <c r="C20" s="2" t="n"/>
      <c r="D20" s="2" t="inlineStr">
        <is>
          <t>Editable. 0.005 = 0.5% per year (SANS 10400-XA)</t>
        </is>
      </c>
    </row>
    <row r="21">
      <c r="A21" s="2" t="inlineStr">
        <is>
          <t>Project life</t>
        </is>
      </c>
      <c r="B21" s="10" t="n">
        <v>20</v>
      </c>
      <c r="C21" s="2" t="inlineStr">
        <is>
          <t>years</t>
        </is>
      </c>
      <c r="D21" s="2" t="inlineStr">
        <is>
          <t>Editable project period</t>
        </is>
      </c>
    </row>
    <row r="22">
      <c r="A22" s="2" t="inlineStr">
        <is>
          <t>Discount rate</t>
        </is>
      </c>
      <c r="B22" s="9" t="n">
        <v>0.1</v>
      </c>
      <c r="C22" s="2" t="n"/>
      <c r="D22" s="2" t="inlineStr">
        <is>
          <t>Editable discount rate</t>
        </is>
      </c>
    </row>
    <row r="23" ht="30" customHeight="1" s="21">
      <c r="A23" s="2" t="inlineStr">
        <is>
          <t>Region</t>
        </is>
      </c>
      <c r="B23" s="10" t="inlineStr">
        <is>
          <t>South</t>
        </is>
      </c>
      <c r="C23" s="2" t="n"/>
      <c r="D23" s="2" t="inlineStr">
        <is>
          <t>Dropdown: Coastal, North, South, Central</t>
        </is>
      </c>
    </row>
    <row r="27">
      <c r="A27" s="20" t="inlineStr">
        <is>
          <t>Calculated Values</t>
        </is>
      </c>
    </row>
    <row r="28">
      <c r="A28" s="1" t="inlineStr">
        <is>
          <t>Calculation</t>
        </is>
      </c>
      <c r="B28" s="1" t="inlineStr">
        <is>
          <t>Value</t>
        </is>
      </c>
      <c r="C28" s="1" t="inlineStr">
        <is>
          <t>Unit</t>
        </is>
      </c>
      <c r="D28" s="1" t="inlineStr">
        <is>
          <t>Formula basis</t>
        </is>
      </c>
    </row>
    <row r="29">
      <c r="A29" s="2" t="inlineStr">
        <is>
          <t>Max PV from breaker</t>
        </is>
      </c>
      <c r="B29" s="3">
        <f>IF(B6&gt;250,SQRT(3)*B5*B6*B7*(1-B8)/1000,B5*B6*B7*(1-B8)/1000)</f>
        <v/>
      </c>
      <c r="C29" s="2" t="inlineStr">
        <is>
          <t>kWp</t>
        </is>
      </c>
      <c r="D29" s="2" t="inlineStr">
        <is>
          <t>Breaker capacity limit</t>
        </is>
      </c>
    </row>
    <row r="30" ht="30" customHeight="1" s="21">
      <c r="A30" s="2" t="inlineStr">
        <is>
          <t>Max PV from roof</t>
        </is>
      </c>
      <c r="B30" s="3">
        <f>(B11*B13/B12)*B10/1000</f>
        <v/>
      </c>
      <c r="C30" s="2" t="inlineStr">
        <is>
          <t>kWp</t>
        </is>
      </c>
      <c r="D30" s="2" t="inlineStr">
        <is>
          <t>Area available × roof factor ÷ panel area × panel power</t>
        </is>
      </c>
    </row>
    <row r="31" ht="30" customHeight="1" s="21">
      <c r="A31" s="2" t="inlineStr">
        <is>
          <t>Model PV size</t>
        </is>
      </c>
      <c r="B31" s="3">
        <f>MIN(B9,B29,B30)</f>
        <v/>
      </c>
      <c r="C31" s="2" t="inlineStr">
        <is>
          <t>kWp</t>
        </is>
      </c>
      <c r="D31" s="2" t="inlineStr">
        <is>
          <t>Minimum of desired PV, breaker limit and roof limit</t>
        </is>
      </c>
    </row>
    <row r="32">
      <c r="A32" s="2" t="inlineStr">
        <is>
          <t>No. of panels</t>
        </is>
      </c>
      <c r="B32" s="4">
        <f>ROUNDUP(B31*1000/B10,0)</f>
        <v/>
      </c>
      <c r="C32" s="2" t="inlineStr">
        <is>
          <t>panels</t>
        </is>
      </c>
      <c r="D32" s="2" t="inlineStr">
        <is>
          <t>Model PV size ÷ panel power</t>
        </is>
      </c>
    </row>
    <row r="33">
      <c r="A33" s="2" t="inlineStr">
        <is>
          <t>Capital cost</t>
        </is>
      </c>
      <c r="B33" s="3">
        <f>B31*B18</f>
        <v/>
      </c>
      <c r="C33" s="2" t="inlineStr">
        <is>
          <t>NAD</t>
        </is>
      </c>
      <c r="D33" s="2" t="inlineStr">
        <is>
          <t>Model PV size × installed cost</t>
        </is>
      </c>
    </row>
    <row r="34" ht="30" customHeight="1" s="21">
      <c r="A34" s="2" t="inlineStr">
        <is>
          <t>Year 1 energy</t>
        </is>
      </c>
      <c r="B34" s="4">
        <f>B31*B14</f>
        <v/>
      </c>
      <c r="C34" s="2" t="inlineStr">
        <is>
          <t>kWh</t>
        </is>
      </c>
      <c r="D34" s="2" t="inlineStr">
        <is>
          <t>Model PV size × selected regional specific yield</t>
        </is>
      </c>
    </row>
    <row r="35">
      <c r="A35" s="2" t="inlineStr">
        <is>
          <t>Roof area required</t>
        </is>
      </c>
      <c r="B35" s="3">
        <f>B32*B12/B13</f>
        <v/>
      </c>
      <c r="C35" s="2" t="inlineStr">
        <is>
          <t>m²</t>
        </is>
      </c>
      <c r="D35" s="2" t="inlineStr">
        <is>
          <t>No. panels × panel area ÷ roof factor</t>
        </is>
      </c>
    </row>
    <row r="36">
      <c r="A36" s="2" t="inlineStr">
        <is>
          <t>Year 1 grid energy cost</t>
        </is>
      </c>
      <c r="B36" s="4">
        <f>B34*B15</f>
        <v/>
      </c>
      <c r="C36" s="2" t="inlineStr">
        <is>
          <t>NAD</t>
        </is>
      </c>
      <c r="D36" s="2" t="inlineStr">
        <is>
          <t>Year 1 energy × grid tariff</t>
        </is>
      </c>
    </row>
    <row r="37" ht="30" customHeight="1" s="21">
      <c r="A37" s="2" t="inlineStr">
        <is>
          <t>Calculated solar LCOE</t>
        </is>
      </c>
      <c r="B37" s="5">
        <f>'Cash Flow'!L6</f>
        <v/>
      </c>
      <c r="C37" s="2" t="inlineStr">
        <is>
          <t>NAD/kWh</t>
        </is>
      </c>
      <c r="D37" s="2" t="inlineStr">
        <is>
          <t>Capital + discounted O&amp;M divided by discounted kWh</t>
        </is>
      </c>
    </row>
    <row r="38">
      <c r="A38" s="2" t="inlineStr">
        <is>
          <t>Year 1 solar energy cost</t>
        </is>
      </c>
      <c r="B38" s="4">
        <f>B34*B37</f>
        <v/>
      </c>
      <c r="C38" s="2" t="inlineStr">
        <is>
          <t>NAD</t>
        </is>
      </c>
      <c r="D38" s="2" t="inlineStr">
        <is>
          <t>Year 1 energy × calculated solar LCOE</t>
        </is>
      </c>
    </row>
    <row r="39">
      <c r="A39" s="2" t="inlineStr">
        <is>
          <t>Year 1 gross savings</t>
        </is>
      </c>
      <c r="B39" s="3">
        <f>B36</f>
        <v/>
      </c>
      <c r="C39" s="2" t="inlineStr">
        <is>
          <t>NAD</t>
        </is>
      </c>
      <c r="D39" s="2" t="inlineStr">
        <is>
          <t>Avoided grid cost before O&amp;M</t>
        </is>
      </c>
    </row>
    <row r="40">
      <c r="A40" s="2" t="inlineStr">
        <is>
          <t>Year 1 O&amp;M</t>
        </is>
      </c>
      <c r="B40" s="3">
        <f>B33*B19</f>
        <v/>
      </c>
      <c r="C40" s="2" t="inlineStr">
        <is>
          <t>NAD</t>
        </is>
      </c>
      <c r="D40" s="2" t="inlineStr">
        <is>
          <t>Capital cost × O&amp;M %</t>
        </is>
      </c>
    </row>
    <row r="41">
      <c r="A41" s="2" t="inlineStr">
        <is>
          <t>Year 1 net savings</t>
        </is>
      </c>
      <c r="B41" s="3">
        <f>B39-B40</f>
        <v/>
      </c>
      <c r="C41" s="2" t="inlineStr">
        <is>
          <t>NAD</t>
        </is>
      </c>
      <c r="D41" s="2" t="inlineStr">
        <is>
          <t>Gross savings minus O&amp;M</t>
        </is>
      </c>
    </row>
    <row r="42">
      <c r="A42" s="2" t="inlineStr">
        <is>
          <t>Tariff less solar LCOE</t>
        </is>
      </c>
      <c r="B42" s="5">
        <f>B15-B37</f>
        <v/>
      </c>
      <c r="C42" s="2" t="inlineStr">
        <is>
          <t>NAD/kWh</t>
        </is>
      </c>
      <c r="D42" s="2" t="inlineStr">
        <is>
          <t>Grid tariff minus calculated solar LCOE</t>
        </is>
      </c>
    </row>
  </sheetData>
  <mergeCells count="2">
    <mergeCell ref="A1:D1"/>
    <mergeCell ref="A27:D27"/>
  </mergeCells>
  <dataValidations count="1">
    <dataValidation sqref="B23" showDropDown="0" showInputMessage="1" showErrorMessage="1" allowBlank="1" errorTitle="Invalid Region" error="Please select: Coastal, North, South, or Central" promptTitle="Select Region" prompt="Choose from: Coastal, North, South, Central" type="list">
      <formula1>"Coastal,North,South,Central"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topLeftCell="B1" workbookViewId="0">
      <pane ySplit="2" topLeftCell="A3" activePane="bottomLeft" state="frozen"/>
      <selection pane="bottomLeft" activeCell="G25" sqref="G25"/>
    </sheetView>
  </sheetViews>
  <sheetFormatPr baseColWidth="8" defaultRowHeight="15"/>
  <cols>
    <col width="38" customWidth="1" style="21" min="1" max="3"/>
    <col width="22" customWidth="1" style="21" min="4" max="4"/>
    <col width="38" customWidth="1" style="21" min="5" max="5"/>
    <col width="19" customWidth="1" style="21" min="6" max="6"/>
    <col width="38" customWidth="1" style="21" min="7" max="7"/>
    <col width="30" customWidth="1" style="21" min="8" max="8"/>
    <col width="26" customWidth="1" style="21" min="9" max="9"/>
    <col width="23" customWidth="1" style="21" min="10" max="10"/>
    <col width="32" customWidth="1" style="21" min="11" max="11"/>
    <col width="38" customWidth="1" style="21" min="12" max="12"/>
  </cols>
  <sheetData>
    <row r="1">
      <c r="A1" s="20" t="inlineStr">
        <is>
          <t>Cash Flow with Annual kWh Production and Levelised Solar Cost</t>
        </is>
      </c>
    </row>
    <row r="2">
      <c r="A2" s="1" t="inlineStr">
        <is>
          <t>Year</t>
        </is>
      </c>
      <c r="B2" s="1" t="inlineStr">
        <is>
          <t>Production kWh</t>
        </is>
      </c>
      <c r="C2" s="1" t="inlineStr">
        <is>
          <t>Grid tariff NAD/kWh</t>
        </is>
      </c>
      <c r="D2" s="1" t="inlineStr">
        <is>
          <t>Grid energy cost NAD</t>
        </is>
      </c>
      <c r="E2" s="1" t="inlineStr">
        <is>
          <t>O&amp;M NAD</t>
        </is>
      </c>
      <c r="F2" s="1" t="inlineStr">
        <is>
          <t>Net cash flow NAD</t>
        </is>
      </c>
      <c r="G2" s="1" t="inlineStr">
        <is>
          <t>Discount factor</t>
        </is>
      </c>
      <c r="H2" s="1" t="inlineStr">
        <is>
          <t>Discounted net cash flow NAD</t>
        </is>
      </c>
      <c r="I2" s="1" t="inlineStr">
        <is>
          <t>Cumulative cash flow NAD</t>
        </is>
      </c>
      <c r="J2" s="1" t="inlineStr">
        <is>
          <t>Discounted energy kWh</t>
        </is>
      </c>
      <c r="K2" s="1" t="inlineStr">
        <is>
          <t>Summary</t>
        </is>
      </c>
      <c r="L2" s="1" t="inlineStr">
        <is>
          <t>Value</t>
        </is>
      </c>
    </row>
    <row r="3">
      <c r="A3" s="12" t="n">
        <v>0</v>
      </c>
      <c r="B3" s="87" t="n">
        <v>0</v>
      </c>
      <c r="C3" s="88" t="n">
        <v>0</v>
      </c>
      <c r="D3" s="89" t="n">
        <v>0</v>
      </c>
      <c r="E3" s="89" t="n">
        <v>0</v>
      </c>
      <c r="F3" s="89">
        <f>-Inputs!B33</f>
        <v/>
      </c>
      <c r="G3" s="125">
        <f>1</f>
        <v/>
      </c>
      <c r="H3" s="15">
        <f>F3*G3</f>
        <v/>
      </c>
      <c r="I3" s="15">
        <f>F3</f>
        <v/>
      </c>
      <c r="J3" s="13" t="n">
        <v>0</v>
      </c>
      <c r="K3" s="2" t="inlineStr">
        <is>
          <t>NPV of net cash flow</t>
        </is>
      </c>
      <c r="L3" s="3">
        <f>SUM(H3:H23)</f>
        <v/>
      </c>
    </row>
    <row r="4">
      <c r="A4" s="12" t="n">
        <v>1</v>
      </c>
      <c r="B4" s="87">
        <f>IF(A4&gt;Inputs!B21,0,Inputs!B31*Inputs!B14*(1-Inputs!B20)^(A4-1))</f>
        <v/>
      </c>
      <c r="C4" s="88">
        <f>IF(A4&gt;Inputs!B21,0,Inputs!B15*(1+Inputs!B17)^(A4-1))</f>
        <v/>
      </c>
      <c r="D4" s="89">
        <f>B4*C4</f>
        <v/>
      </c>
      <c r="E4" s="89">
        <f>IF(A4&gt;Inputs!B21,0,Inputs!B33*Inputs!B19*(1+Inputs!B17)^(A4-1))</f>
        <v/>
      </c>
      <c r="F4" s="89">
        <f>D4-E4</f>
        <v/>
      </c>
      <c r="G4" s="125">
        <f>IF(A4&gt;Inputs!B21,0,1/(1+Inputs!B22)^A4)</f>
        <v/>
      </c>
      <c r="H4" s="15">
        <f>F4*G4</f>
        <v/>
      </c>
      <c r="I4" s="15">
        <f>I3+F4</f>
        <v/>
      </c>
      <c r="J4" s="13">
        <f>B4*G4</f>
        <v/>
      </c>
      <c r="K4" s="2" t="inlineStr">
        <is>
          <t>IRR</t>
        </is>
      </c>
      <c r="L4" s="6">
        <f>IFERROR(IRR(F3:F23),"No IRR")</f>
        <v/>
      </c>
    </row>
    <row r="5">
      <c r="A5" s="12" t="n">
        <v>2</v>
      </c>
      <c r="B5" s="87">
        <f>IF(A5&gt;Inputs!B21,0,Inputs!B31*Inputs!B14*(1-Inputs!B20)^(A5-1))</f>
        <v/>
      </c>
      <c r="C5" s="88">
        <f>IF(A5&gt;Inputs!B21,0,Inputs!B15*(1+Inputs!B17)^(A5-1))</f>
        <v/>
      </c>
      <c r="D5" s="89">
        <f>B5*C5</f>
        <v/>
      </c>
      <c r="E5" s="89">
        <f>IF(A5&gt;Inputs!B21,0,Inputs!B33*Inputs!B19*(1+Inputs!B17)^(A5-1))</f>
        <v/>
      </c>
      <c r="F5" s="89">
        <f>D5-E5</f>
        <v/>
      </c>
      <c r="G5" s="125">
        <f>IF(A5&gt;Inputs!B21,0,1/(1+Inputs!B22)^A5)</f>
        <v/>
      </c>
      <c r="H5" s="15">
        <f>F5*G5</f>
        <v/>
      </c>
      <c r="I5" s="15">
        <f>I4+F5</f>
        <v/>
      </c>
      <c r="J5" s="13">
        <f>B5*G5</f>
        <v/>
      </c>
      <c r="K5" s="2" t="inlineStr">
        <is>
          <t>Payback year</t>
        </is>
      </c>
      <c r="L5" s="16">
        <f>IFERROR(INDEX(A4:A23,MATCH(TRUE,I4:I23&gt;=0,0)),"No payback inside project life")</f>
        <v/>
      </c>
    </row>
    <row r="6">
      <c r="A6" s="12" t="n">
        <v>3</v>
      </c>
      <c r="B6" s="87">
        <f>IF(A6&gt;Inputs!B21,0,Inputs!B31*Inputs!B14*(1-Inputs!B20)^(A6-1))</f>
        <v/>
      </c>
      <c r="C6" s="88">
        <f>IF(A6&gt;Inputs!B21,0,Inputs!B15*(1+Inputs!B17)^(A6-1))</f>
        <v/>
      </c>
      <c r="D6" s="89">
        <f>B6*C6</f>
        <v/>
      </c>
      <c r="E6" s="89">
        <f>IF(A6&gt;Inputs!B21,0,Inputs!B33*Inputs!B19*(1+Inputs!B17)^(A6-1))</f>
        <v/>
      </c>
      <c r="F6" s="89">
        <f>D6-E6</f>
        <v/>
      </c>
      <c r="G6" s="125">
        <f>IF(A6&gt;Inputs!B21,0,1/(1+Inputs!B22)^A6)</f>
        <v/>
      </c>
      <c r="H6" s="15">
        <f>F6*G6</f>
        <v/>
      </c>
      <c r="I6" s="15">
        <f>I5+F6</f>
        <v/>
      </c>
      <c r="J6" s="13">
        <f>B6*G6</f>
        <v/>
      </c>
      <c r="K6" s="2" t="inlineStr">
        <is>
          <t>Calculated solar LCOE NAD/kWh</t>
        </is>
      </c>
      <c r="L6" s="5">
        <f>(Inputs!B33+SUMPRODUCT(E4:E23,G4:G23))/SUM(J4:J23)</f>
        <v/>
      </c>
    </row>
    <row r="7">
      <c r="A7" s="12" t="n">
        <v>4</v>
      </c>
      <c r="B7" s="87">
        <f>IF(A7&gt;Inputs!B21,0,Inputs!B31*Inputs!B14*(1-Inputs!B20)^(A7-1))</f>
        <v/>
      </c>
      <c r="C7" s="88">
        <f>IF(A7&gt;Inputs!B21,0,Inputs!B15*(1+Inputs!B17)^(A7-1))</f>
        <v/>
      </c>
      <c r="D7" s="89">
        <f>B7*C7</f>
        <v/>
      </c>
      <c r="E7" s="89">
        <f>IF(A7&gt;Inputs!B21,0,Inputs!B33*Inputs!B19*(1+Inputs!B17)^(A7-1))</f>
        <v/>
      </c>
      <c r="F7" s="89">
        <f>D7-E7</f>
        <v/>
      </c>
      <c r="G7" s="125">
        <f>IF(A7&gt;Inputs!B21,0,1/(1+Inputs!B22)^A7)</f>
        <v/>
      </c>
      <c r="H7" s="15">
        <f>F7*G7</f>
        <v/>
      </c>
      <c r="I7" s="15">
        <f>I6+F7</f>
        <v/>
      </c>
      <c r="J7" s="13">
        <f>B7*G7</f>
        <v/>
      </c>
      <c r="K7" s="2" t="inlineStr">
        <is>
          <t>Grid tariff Year 1 NAD/kWh</t>
        </is>
      </c>
      <c r="L7" s="5">
        <f>Inputs!B15</f>
        <v/>
      </c>
    </row>
    <row r="8">
      <c r="A8" s="12" t="n">
        <v>5</v>
      </c>
      <c r="B8" s="87">
        <f>IF(A8&gt;Inputs!B21,0,Inputs!B31*Inputs!B14*(1-Inputs!B20)^(A8-1))</f>
        <v/>
      </c>
      <c r="C8" s="88">
        <f>IF(A8&gt;Inputs!B21,0,Inputs!B15*(1+Inputs!B17)^(A8-1))</f>
        <v/>
      </c>
      <c r="D8" s="89">
        <f>B8*C8</f>
        <v/>
      </c>
      <c r="E8" s="89">
        <f>IF(A8&gt;Inputs!B21,0,Inputs!B33*Inputs!B19*(1+Inputs!B17)^(A8-1))</f>
        <v/>
      </c>
      <c r="F8" s="89">
        <f>D8-E8</f>
        <v/>
      </c>
      <c r="G8" s="125">
        <f>IF(A8&gt;Inputs!B21,0,1/(1+Inputs!B22)^A8)</f>
        <v/>
      </c>
      <c r="H8" s="15">
        <f>F8*G8</f>
        <v/>
      </c>
      <c r="I8" s="15">
        <f>I7+F8</f>
        <v/>
      </c>
      <c r="J8" s="13">
        <f>B8*G8</f>
        <v/>
      </c>
      <c r="K8" s="2" t="inlineStr">
        <is>
          <t>Tariff less solar LCOE NAD/kWh</t>
        </is>
      </c>
      <c r="L8" s="5">
        <f>Inputs!B15-L6</f>
        <v/>
      </c>
    </row>
    <row r="9">
      <c r="A9" s="12" t="n">
        <v>6</v>
      </c>
      <c r="B9" s="87">
        <f>IF(A9&gt;Inputs!B21,0,Inputs!B31*Inputs!B14*(1-Inputs!B20)^(A9-1))</f>
        <v/>
      </c>
      <c r="C9" s="88">
        <f>IF(A9&gt;Inputs!B21,0,Inputs!B15*(1+Inputs!B17)^(A9-1))</f>
        <v/>
      </c>
      <c r="D9" s="89">
        <f>B9*C9</f>
        <v/>
      </c>
      <c r="E9" s="89">
        <f>IF(A9&gt;Inputs!B21,0,Inputs!B33*Inputs!B19*(1+Inputs!B17)^(A9-1))</f>
        <v/>
      </c>
      <c r="F9" s="89">
        <f>D9-E9</f>
        <v/>
      </c>
      <c r="G9" s="125">
        <f>IF(A9&gt;Inputs!B21,0,1/(1+Inputs!B22)^A9)</f>
        <v/>
      </c>
      <c r="H9" s="15">
        <f>F9*G9</f>
        <v/>
      </c>
      <c r="I9" s="15">
        <f>I8+F9</f>
        <v/>
      </c>
      <c r="J9" s="13">
        <f>B9*G9</f>
        <v/>
      </c>
      <c r="K9" s="2" t="inlineStr">
        <is>
          <t>Year 1 net cash flow</t>
        </is>
      </c>
      <c r="L9" s="3">
        <f>F4</f>
        <v/>
      </c>
    </row>
    <row r="10">
      <c r="A10" s="12" t="n">
        <v>7</v>
      </c>
      <c r="B10" s="87">
        <f>IF(A10&gt;Inputs!B21,0,Inputs!B31*Inputs!B14*(1-Inputs!B20)^(A10-1))</f>
        <v/>
      </c>
      <c r="C10" s="88">
        <f>IF(A10&gt;Inputs!B21,0,Inputs!B15*(1+Inputs!B17)^(A10-1))</f>
        <v/>
      </c>
      <c r="D10" s="89">
        <f>B10*C10</f>
        <v/>
      </c>
      <c r="E10" s="89">
        <f>IF(A10&gt;Inputs!B21,0,Inputs!B33*Inputs!B19*(1+Inputs!B17)^(A10-1))</f>
        <v/>
      </c>
      <c r="F10" s="89">
        <f>D10-E10</f>
        <v/>
      </c>
      <c r="G10" s="125">
        <f>IF(A10&gt;Inputs!B21,0,1/(1+Inputs!B22)^A10)</f>
        <v/>
      </c>
      <c r="H10" s="15">
        <f>F10*G10</f>
        <v/>
      </c>
      <c r="I10" s="15">
        <f>I9+F10</f>
        <v/>
      </c>
      <c r="J10" s="13">
        <f>B10*G10</f>
        <v/>
      </c>
    </row>
    <row r="11">
      <c r="A11" s="12" t="n">
        <v>8</v>
      </c>
      <c r="B11" s="87">
        <f>IF(A11&gt;Inputs!B21,0,Inputs!B31*Inputs!B14*(1-Inputs!B20)^(A11-1))</f>
        <v/>
      </c>
      <c r="C11" s="88">
        <f>IF(A11&gt;Inputs!B21,0,Inputs!B15*(1+Inputs!B17)^(A11-1))</f>
        <v/>
      </c>
      <c r="D11" s="89">
        <f>B11*C11</f>
        <v/>
      </c>
      <c r="E11" s="89">
        <f>IF(A11&gt;Inputs!B21,0,Inputs!B33*Inputs!B19*(1+Inputs!B17)^(A11-1))</f>
        <v/>
      </c>
      <c r="F11" s="89">
        <f>D11-E11</f>
        <v/>
      </c>
      <c r="G11" s="125">
        <f>IF(A11&gt;Inputs!B21,0,1/(1+Inputs!B22)^A11)</f>
        <v/>
      </c>
      <c r="H11" s="15">
        <f>F11*G11</f>
        <v/>
      </c>
      <c r="I11" s="15">
        <f>I10+F11</f>
        <v/>
      </c>
      <c r="J11" s="13">
        <f>B11*G11</f>
        <v/>
      </c>
    </row>
    <row r="12">
      <c r="A12" s="12" t="n">
        <v>9</v>
      </c>
      <c r="B12" s="87">
        <f>IF(A12&gt;Inputs!B21,0,Inputs!B31*Inputs!B14*(1-Inputs!B20)^(A12-1))</f>
        <v/>
      </c>
      <c r="C12" s="88">
        <f>IF(A12&gt;Inputs!B21,0,Inputs!B15*(1+Inputs!B17)^(A12-1))</f>
        <v/>
      </c>
      <c r="D12" s="89">
        <f>B12*C12</f>
        <v/>
      </c>
      <c r="E12" s="89">
        <f>IF(A12&gt;Inputs!B21,0,Inputs!B33*Inputs!B19*(1+Inputs!B17)^(A12-1))</f>
        <v/>
      </c>
      <c r="F12" s="89">
        <f>D12-E12</f>
        <v/>
      </c>
      <c r="G12" s="125">
        <f>IF(A12&gt;Inputs!B21,0,1/(1+Inputs!B22)^A12)</f>
        <v/>
      </c>
      <c r="H12" s="15">
        <f>F12*G12</f>
        <v/>
      </c>
      <c r="I12" s="15">
        <f>I11+F12</f>
        <v/>
      </c>
      <c r="J12" s="13">
        <f>B12*G12</f>
        <v/>
      </c>
    </row>
    <row r="13">
      <c r="A13" s="12" t="n">
        <v>10</v>
      </c>
      <c r="B13" s="87">
        <f>IF(A13&gt;Inputs!B21,0,Inputs!B31*Inputs!B14*(1-Inputs!B20)^(A13-1))</f>
        <v/>
      </c>
      <c r="C13" s="88">
        <f>IF(A13&gt;Inputs!B21,0,Inputs!B15*(1+Inputs!B17)^(A13-1))</f>
        <v/>
      </c>
      <c r="D13" s="89">
        <f>B13*C13</f>
        <v/>
      </c>
      <c r="E13" s="89">
        <f>IF(A13&gt;Inputs!B21,0,Inputs!B33*Inputs!B19*(1+Inputs!B17)^(A13-1))</f>
        <v/>
      </c>
      <c r="F13" s="89">
        <f>D13-E13</f>
        <v/>
      </c>
      <c r="G13" s="125">
        <f>IF(A13&gt;Inputs!B21,0,1/(1+Inputs!B22)^A13)</f>
        <v/>
      </c>
      <c r="H13" s="15">
        <f>F13*G13</f>
        <v/>
      </c>
      <c r="I13" s="15">
        <f>I12+F13</f>
        <v/>
      </c>
      <c r="J13" s="13">
        <f>B13*G13</f>
        <v/>
      </c>
    </row>
    <row r="14">
      <c r="A14" s="12" t="n">
        <v>11</v>
      </c>
      <c r="B14" s="87">
        <f>IF(A14&gt;Inputs!B21,0,Inputs!B31*Inputs!B14*(1-Inputs!B20)^(A14-1))</f>
        <v/>
      </c>
      <c r="C14" s="88">
        <f>IF(A14&gt;Inputs!B21,0,Inputs!B15*(1+Inputs!B17)^(A14-1))</f>
        <v/>
      </c>
      <c r="D14" s="89">
        <f>B14*C14</f>
        <v/>
      </c>
      <c r="E14" s="89">
        <f>IF(A14&gt;Inputs!B21,0,Inputs!B33*Inputs!B19*(1+Inputs!B17)^(A14-1))</f>
        <v/>
      </c>
      <c r="F14" s="89">
        <f>D14-E14</f>
        <v/>
      </c>
      <c r="G14" s="125">
        <f>IF(A14&gt;Inputs!B21,0,1/(1+Inputs!B22)^A14)</f>
        <v/>
      </c>
      <c r="H14" s="15">
        <f>F14*G14</f>
        <v/>
      </c>
      <c r="I14" s="15">
        <f>I13+F14</f>
        <v/>
      </c>
      <c r="J14" s="13">
        <f>B14*G14</f>
        <v/>
      </c>
    </row>
    <row r="15">
      <c r="A15" s="12" t="n">
        <v>12</v>
      </c>
      <c r="B15" s="87">
        <f>IF(A15&gt;Inputs!B21,0,Inputs!B31*Inputs!B14*(1-Inputs!B20)^(A15-1))</f>
        <v/>
      </c>
      <c r="C15" s="88">
        <f>IF(A15&gt;Inputs!B21,0,Inputs!B15*(1+Inputs!B17)^(A15-1))</f>
        <v/>
      </c>
      <c r="D15" s="89">
        <f>B15*C15</f>
        <v/>
      </c>
      <c r="E15" s="89">
        <f>IF(A15&gt;Inputs!B21,0,Inputs!B33*Inputs!B19*(1+Inputs!B17)^(A15-1))</f>
        <v/>
      </c>
      <c r="F15" s="89">
        <f>D15-E15</f>
        <v/>
      </c>
      <c r="G15" s="125">
        <f>IF(A15&gt;Inputs!B21,0,1/(1+Inputs!B22)^A15)</f>
        <v/>
      </c>
      <c r="H15" s="15">
        <f>F15*G15</f>
        <v/>
      </c>
      <c r="I15" s="15">
        <f>I14+F15</f>
        <v/>
      </c>
      <c r="J15" s="13">
        <f>B15*G15</f>
        <v/>
      </c>
    </row>
    <row r="16">
      <c r="A16" s="12" t="n">
        <v>13</v>
      </c>
      <c r="B16" s="87">
        <f>IF(A16&gt;Inputs!B21,0,Inputs!B31*Inputs!B14*(1-Inputs!B20)^(A16-1))</f>
        <v/>
      </c>
      <c r="C16" s="88">
        <f>IF(A16&gt;Inputs!B21,0,Inputs!B15*(1+Inputs!B17)^(A16-1))</f>
        <v/>
      </c>
      <c r="D16" s="89">
        <f>B16*C16</f>
        <v/>
      </c>
      <c r="E16" s="89">
        <f>IF(A16&gt;Inputs!B21,0,Inputs!B33*Inputs!B19*(1+Inputs!B17)^(A16-1))</f>
        <v/>
      </c>
      <c r="F16" s="89">
        <f>D16-E16</f>
        <v/>
      </c>
      <c r="G16" s="125">
        <f>IF(A16&gt;Inputs!B21,0,1/(1+Inputs!B22)^A16)</f>
        <v/>
      </c>
      <c r="H16" s="15">
        <f>F16*G16</f>
        <v/>
      </c>
      <c r="I16" s="15">
        <f>I15+F16</f>
        <v/>
      </c>
      <c r="J16" s="13">
        <f>B16*G16</f>
        <v/>
      </c>
    </row>
    <row r="17">
      <c r="A17" s="12" t="n">
        <v>14</v>
      </c>
      <c r="B17" s="87">
        <f>IF(A17&gt;Inputs!B21,0,Inputs!B31*Inputs!B14*(1-Inputs!B20)^(A17-1))</f>
        <v/>
      </c>
      <c r="C17" s="88">
        <f>IF(A17&gt;Inputs!B21,0,Inputs!B15*(1+Inputs!B17)^(A17-1))</f>
        <v/>
      </c>
      <c r="D17" s="89">
        <f>B17*C17</f>
        <v/>
      </c>
      <c r="E17" s="89">
        <f>IF(A17&gt;Inputs!B21,0,Inputs!B33*Inputs!B19*(1+Inputs!B17)^(A17-1))</f>
        <v/>
      </c>
      <c r="F17" s="89">
        <f>D17-E17</f>
        <v/>
      </c>
      <c r="G17" s="125">
        <f>IF(A17&gt;Inputs!B21,0,1/(1+Inputs!B22)^A17)</f>
        <v/>
      </c>
      <c r="H17" s="15">
        <f>F17*G17</f>
        <v/>
      </c>
      <c r="I17" s="15">
        <f>I16+F17</f>
        <v/>
      </c>
      <c r="J17" s="13">
        <f>B17*G17</f>
        <v/>
      </c>
    </row>
    <row r="18">
      <c r="A18" s="12" t="n">
        <v>15</v>
      </c>
      <c r="B18" s="87">
        <f>IF(A18&gt;Inputs!B21,0,Inputs!B31*Inputs!B14*(1-Inputs!B20)^(A18-1))</f>
        <v/>
      </c>
      <c r="C18" s="88">
        <f>IF(A18&gt;Inputs!B21,0,Inputs!B15*(1+Inputs!B17)^(A18-1))</f>
        <v/>
      </c>
      <c r="D18" s="89">
        <f>B18*C18</f>
        <v/>
      </c>
      <c r="E18" s="89">
        <f>IF(A18&gt;Inputs!B21,0,Inputs!B33*Inputs!B19*(1+Inputs!B17)^(A18-1))</f>
        <v/>
      </c>
      <c r="F18" s="89">
        <f>D18-E18</f>
        <v/>
      </c>
      <c r="G18" s="125">
        <f>IF(A18&gt;Inputs!B21,0,1/(1+Inputs!B22)^A18)</f>
        <v/>
      </c>
      <c r="H18" s="15">
        <f>F18*G18</f>
        <v/>
      </c>
      <c r="I18" s="15">
        <f>I17+F18</f>
        <v/>
      </c>
      <c r="J18" s="13">
        <f>B18*G18</f>
        <v/>
      </c>
    </row>
    <row r="19">
      <c r="A19" s="12" t="n">
        <v>16</v>
      </c>
      <c r="B19" s="87">
        <f>IF(A19&gt;Inputs!B21,0,Inputs!B31*Inputs!B14*(1-Inputs!B20)^(A19-1))</f>
        <v/>
      </c>
      <c r="C19" s="88">
        <f>IF(A19&gt;Inputs!B21,0,Inputs!B15*(1+Inputs!B17)^(A19-1))</f>
        <v/>
      </c>
      <c r="D19" s="89">
        <f>B19*C19</f>
        <v/>
      </c>
      <c r="E19" s="89">
        <f>IF(A19&gt;Inputs!B21,0,Inputs!B33*Inputs!B19*(1+Inputs!B17)^(A19-1))</f>
        <v/>
      </c>
      <c r="F19" s="89">
        <f>D19-E19</f>
        <v/>
      </c>
      <c r="G19" s="125">
        <f>IF(A19&gt;Inputs!B21,0,1/(1+Inputs!B22)^A19)</f>
        <v/>
      </c>
      <c r="H19" s="15">
        <f>F19*G19</f>
        <v/>
      </c>
      <c r="I19" s="15">
        <f>I18+F19</f>
        <v/>
      </c>
      <c r="J19" s="13">
        <f>B19*G19</f>
        <v/>
      </c>
    </row>
    <row r="20">
      <c r="A20" s="12" t="n">
        <v>17</v>
      </c>
      <c r="B20" s="87">
        <f>IF(A20&gt;Inputs!B21,0,Inputs!B31*Inputs!B14*(1-Inputs!B20)^(A20-1))</f>
        <v/>
      </c>
      <c r="C20" s="88">
        <f>IF(A20&gt;Inputs!B21,0,Inputs!B15*(1+Inputs!B17)^(A20-1))</f>
        <v/>
      </c>
      <c r="D20" s="89">
        <f>B20*C20</f>
        <v/>
      </c>
      <c r="E20" s="89">
        <f>IF(A20&gt;Inputs!B21,0,Inputs!B33*Inputs!B19*(1+Inputs!B17)^(A20-1))</f>
        <v/>
      </c>
      <c r="F20" s="89">
        <f>D20-E20</f>
        <v/>
      </c>
      <c r="G20" s="125">
        <f>IF(A20&gt;Inputs!B21,0,1/(1+Inputs!B22)^A20)</f>
        <v/>
      </c>
      <c r="H20" s="15">
        <f>F20*G20</f>
        <v/>
      </c>
      <c r="I20" s="15">
        <f>I19+F20</f>
        <v/>
      </c>
      <c r="J20" s="13">
        <f>B20*G20</f>
        <v/>
      </c>
    </row>
    <row r="21">
      <c r="A21" s="12" t="n">
        <v>18</v>
      </c>
      <c r="B21" s="87">
        <f>IF(A21&gt;Inputs!B21,0,Inputs!B31*Inputs!B14*(1-Inputs!B20)^(A21-1))</f>
        <v/>
      </c>
      <c r="C21" s="88">
        <f>IF(A21&gt;Inputs!B21,0,Inputs!B15*(1+Inputs!B17)^(A21-1))</f>
        <v/>
      </c>
      <c r="D21" s="89">
        <f>B21*C21</f>
        <v/>
      </c>
      <c r="E21" s="89">
        <f>IF(A21&gt;Inputs!B21,0,Inputs!B33*Inputs!B19*(1+Inputs!B17)^(A21-1))</f>
        <v/>
      </c>
      <c r="F21" s="89">
        <f>D21-E21</f>
        <v/>
      </c>
      <c r="G21" s="125">
        <f>IF(A21&gt;Inputs!B21,0,1/(1+Inputs!B22)^A21)</f>
        <v/>
      </c>
      <c r="H21" s="15">
        <f>F21*G21</f>
        <v/>
      </c>
      <c r="I21" s="15">
        <f>I20+F21</f>
        <v/>
      </c>
      <c r="J21" s="13">
        <f>B21*G21</f>
        <v/>
      </c>
    </row>
    <row r="22">
      <c r="A22" s="12" t="n">
        <v>19</v>
      </c>
      <c r="B22" s="87">
        <f>IF(A22&gt;Inputs!B21,0,Inputs!B31*Inputs!B14*(1-Inputs!B20)^(A22-1))</f>
        <v/>
      </c>
      <c r="C22" s="88">
        <f>IF(A22&gt;Inputs!B21,0,Inputs!B15*(1+Inputs!B17)^(A22-1))</f>
        <v/>
      </c>
      <c r="D22" s="89">
        <f>B22*C22</f>
        <v/>
      </c>
      <c r="E22" s="89">
        <f>IF(A22&gt;Inputs!B21,0,Inputs!B33*Inputs!B19*(1+Inputs!B17)^(A22-1))</f>
        <v/>
      </c>
      <c r="F22" s="89">
        <f>D22-E22</f>
        <v/>
      </c>
      <c r="G22" s="125">
        <f>IF(A22&gt;Inputs!B21,0,1/(1+Inputs!B22)^A22)</f>
        <v/>
      </c>
      <c r="H22" s="15">
        <f>F22*G22</f>
        <v/>
      </c>
      <c r="I22" s="15">
        <f>I21+F22</f>
        <v/>
      </c>
      <c r="J22" s="13">
        <f>B22*G22</f>
        <v/>
      </c>
    </row>
    <row r="23">
      <c r="A23" s="91" t="n">
        <v>20</v>
      </c>
      <c r="B23" s="92">
        <f>IF(A23&gt;Inputs!B21,0,Inputs!B31*Inputs!B14*(1-Inputs!B20)^(A23-1))</f>
        <v/>
      </c>
      <c r="C23" s="93">
        <f>IF(A23&gt;Inputs!B21,0,Inputs!B15*(1+Inputs!B17)^(A23-1))</f>
        <v/>
      </c>
      <c r="D23" s="94">
        <f>B23*C23</f>
        <v/>
      </c>
      <c r="E23" s="94">
        <f>IF(A23&gt;Inputs!B21,0,Inputs!B33*Inputs!B19*(1+Inputs!B17)^(A23-1))</f>
        <v/>
      </c>
      <c r="F23" s="94">
        <f>D23-E23</f>
        <v/>
      </c>
      <c r="G23" s="126">
        <f>IF(A23&gt;Inputs!B21,0,1/(1+Inputs!B22)^A23)</f>
        <v/>
      </c>
      <c r="H23" s="15">
        <f>F23*G23</f>
        <v/>
      </c>
      <c r="I23" s="15">
        <f>I22+F23</f>
        <v/>
      </c>
      <c r="J23" s="13">
        <f>B23*G23</f>
        <v/>
      </c>
    </row>
    <row r="24" customFormat="1" s="101">
      <c r="A24" s="98" t="n"/>
      <c r="B24" s="98">
        <f>SUM(B3:B23)</f>
        <v/>
      </c>
      <c r="C24" s="98" t="n"/>
      <c r="D24" s="98">
        <f>SUM(D3:D23)</f>
        <v/>
      </c>
      <c r="E24" s="98">
        <f>SUM(E3:E23)</f>
        <v/>
      </c>
      <c r="F24" s="99">
        <f>SUM(F3:F23)</f>
        <v/>
      </c>
      <c r="G24" s="100" t="n"/>
    </row>
    <row r="25">
      <c r="E25" s="97">
        <f>E24+Dashboard!B22</f>
        <v/>
      </c>
    </row>
    <row r="28" ht="30" customHeight="1" s="21">
      <c r="A28" s="107" t="inlineStr">
        <is>
          <t>Year</t>
        </is>
      </c>
      <c r="B28" s="111" t="inlineStr">
        <is>
          <t>Production kWh</t>
        </is>
      </c>
      <c r="C28" s="1" t="inlineStr">
        <is>
          <t>Lease Tariff NAD/kWh</t>
        </is>
      </c>
      <c r="D28" s="1" t="inlineStr">
        <is>
          <t>Solar energy cost NAD</t>
        </is>
      </c>
      <c r="E28" s="111" t="inlineStr">
        <is>
          <t>Production kWh</t>
        </is>
      </c>
      <c r="F28" s="1" t="inlineStr">
        <is>
          <t>Outright Purchase NAD/kWh</t>
        </is>
      </c>
      <c r="G28" s="1" t="inlineStr">
        <is>
          <t>Solar energy cost NAD</t>
        </is>
      </c>
    </row>
    <row r="29">
      <c r="A29" s="108" t="n">
        <v>0</v>
      </c>
      <c r="B29" s="112" t="n">
        <v>0</v>
      </c>
      <c r="C29" s="96" t="n"/>
      <c r="D29" s="96" t="n"/>
      <c r="E29" s="112" t="n">
        <v>0</v>
      </c>
      <c r="F29" s="96" t="n"/>
      <c r="G29" s="96" t="n"/>
    </row>
    <row r="30">
      <c r="A30" s="108" t="n">
        <v>1</v>
      </c>
      <c r="B30" s="112">
        <f>B4</f>
        <v/>
      </c>
      <c r="C30" s="113">
        <f>Inputs!B16</f>
        <v/>
      </c>
      <c r="D30" s="114">
        <f>B30*C30</f>
        <v/>
      </c>
      <c r="E30" s="112">
        <f>B30</f>
        <v/>
      </c>
      <c r="F30" s="113" t="n">
        <v>0.31</v>
      </c>
      <c r="G30" s="114">
        <f>E30*F30</f>
        <v/>
      </c>
    </row>
    <row r="31">
      <c r="A31" s="108" t="n">
        <v>2</v>
      </c>
      <c r="B31" s="112">
        <f>B5</f>
        <v/>
      </c>
      <c r="C31" s="113">
        <f>C30*1.03</f>
        <v/>
      </c>
      <c r="D31" s="114">
        <f>B31*C31</f>
        <v/>
      </c>
      <c r="E31" s="112">
        <f>B31</f>
        <v/>
      </c>
      <c r="F31" s="113">
        <f>F30*1.03</f>
        <v/>
      </c>
      <c r="G31" s="114">
        <f>E31*F31</f>
        <v/>
      </c>
    </row>
    <row r="32">
      <c r="A32" s="108" t="n">
        <v>3</v>
      </c>
      <c r="B32" s="112">
        <f>B6</f>
        <v/>
      </c>
      <c r="C32" s="113">
        <f>C31*1.03</f>
        <v/>
      </c>
      <c r="D32" s="114">
        <f>B32*C32</f>
        <v/>
      </c>
      <c r="E32" s="112">
        <f>B32</f>
        <v/>
      </c>
      <c r="F32" s="113">
        <f>F31*1.03</f>
        <v/>
      </c>
      <c r="G32" s="114">
        <f>E32*F32</f>
        <v/>
      </c>
    </row>
    <row r="33">
      <c r="A33" s="108" t="n">
        <v>4</v>
      </c>
      <c r="B33" s="112">
        <f>B7</f>
        <v/>
      </c>
      <c r="C33" s="113">
        <f>C32*1.03</f>
        <v/>
      </c>
      <c r="D33" s="114">
        <f>B33*C33</f>
        <v/>
      </c>
      <c r="E33" s="112">
        <f>B33</f>
        <v/>
      </c>
      <c r="F33" s="113">
        <f>F32*1.03</f>
        <v/>
      </c>
      <c r="G33" s="114">
        <f>E33*F33</f>
        <v/>
      </c>
    </row>
    <row r="34">
      <c r="A34" s="108" t="n">
        <v>5</v>
      </c>
      <c r="B34" s="112">
        <f>B8</f>
        <v/>
      </c>
      <c r="C34" s="113">
        <f>C33*1.03</f>
        <v/>
      </c>
      <c r="D34" s="114">
        <f>B34*C34</f>
        <v/>
      </c>
      <c r="E34" s="112">
        <f>B34</f>
        <v/>
      </c>
      <c r="F34" s="113">
        <f>F33*1.03</f>
        <v/>
      </c>
      <c r="G34" s="114">
        <f>E34*F34</f>
        <v/>
      </c>
    </row>
    <row r="35">
      <c r="A35" s="108" t="n">
        <v>6</v>
      </c>
      <c r="B35" s="112">
        <f>B9</f>
        <v/>
      </c>
      <c r="C35" s="113">
        <f>C34*1.03</f>
        <v/>
      </c>
      <c r="D35" s="114">
        <f>B35*C35</f>
        <v/>
      </c>
      <c r="E35" s="112">
        <f>B35</f>
        <v/>
      </c>
      <c r="F35" s="113">
        <f>F34*1.03</f>
        <v/>
      </c>
      <c r="G35" s="114">
        <f>E35*F35</f>
        <v/>
      </c>
    </row>
    <row r="36">
      <c r="A36" s="108" t="n">
        <v>7</v>
      </c>
      <c r="B36" s="112">
        <f>B10</f>
        <v/>
      </c>
      <c r="C36" s="113">
        <f>C35*1.03</f>
        <v/>
      </c>
      <c r="D36" s="114">
        <f>B36*C36</f>
        <v/>
      </c>
      <c r="E36" s="112">
        <f>B36</f>
        <v/>
      </c>
      <c r="F36" s="113">
        <f>F35*1.03</f>
        <v/>
      </c>
      <c r="G36" s="114">
        <f>E36*F36</f>
        <v/>
      </c>
    </row>
    <row r="37">
      <c r="A37" s="108" t="n">
        <v>8</v>
      </c>
      <c r="B37" s="112">
        <f>B11</f>
        <v/>
      </c>
      <c r="C37" s="113">
        <f>C36*1.03</f>
        <v/>
      </c>
      <c r="D37" s="114">
        <f>B37*C37</f>
        <v/>
      </c>
      <c r="E37" s="112">
        <f>B37</f>
        <v/>
      </c>
      <c r="F37" s="113">
        <f>F36*1.03</f>
        <v/>
      </c>
      <c r="G37" s="114">
        <f>E37*F37</f>
        <v/>
      </c>
    </row>
    <row r="38">
      <c r="A38" s="108" t="n">
        <v>9</v>
      </c>
      <c r="B38" s="112">
        <f>B12</f>
        <v/>
      </c>
      <c r="C38" s="113">
        <f>C37*1.03</f>
        <v/>
      </c>
      <c r="D38" s="114">
        <f>B38*C38</f>
        <v/>
      </c>
      <c r="E38" s="112">
        <f>B38</f>
        <v/>
      </c>
      <c r="F38" s="113">
        <f>F37*1.03</f>
        <v/>
      </c>
      <c r="G38" s="114">
        <f>E38*F38</f>
        <v/>
      </c>
    </row>
    <row r="39">
      <c r="A39" s="108" t="n">
        <v>10</v>
      </c>
      <c r="B39" s="112">
        <f>B13</f>
        <v/>
      </c>
      <c r="C39" s="113">
        <f>C38*1.03</f>
        <v/>
      </c>
      <c r="D39" s="114">
        <f>B39*C39</f>
        <v/>
      </c>
      <c r="E39" s="112">
        <f>B39</f>
        <v/>
      </c>
      <c r="F39" s="113">
        <f>F38*1.03</f>
        <v/>
      </c>
      <c r="G39" s="114">
        <f>E39*F39</f>
        <v/>
      </c>
    </row>
    <row r="40">
      <c r="A40" s="108" t="n">
        <v>11</v>
      </c>
      <c r="B40" s="112">
        <f>B14</f>
        <v/>
      </c>
      <c r="C40" s="113">
        <f>C39*1.03</f>
        <v/>
      </c>
      <c r="D40" s="114">
        <f>B40*C40</f>
        <v/>
      </c>
      <c r="E40" s="112">
        <f>B40</f>
        <v/>
      </c>
      <c r="F40" s="113">
        <f>F39*1.03</f>
        <v/>
      </c>
      <c r="G40" s="114">
        <f>E40*F40</f>
        <v/>
      </c>
    </row>
    <row r="41">
      <c r="A41" s="108" t="n">
        <v>12</v>
      </c>
      <c r="B41" s="112">
        <f>B15</f>
        <v/>
      </c>
      <c r="C41" s="113">
        <f>C40*1.03</f>
        <v/>
      </c>
      <c r="D41" s="114">
        <f>B41*C41</f>
        <v/>
      </c>
      <c r="E41" s="112">
        <f>B41</f>
        <v/>
      </c>
      <c r="F41" s="113">
        <f>F40*1.03</f>
        <v/>
      </c>
      <c r="G41" s="114">
        <f>E41*F41</f>
        <v/>
      </c>
    </row>
    <row r="42">
      <c r="A42" s="108" t="n">
        <v>13</v>
      </c>
      <c r="B42" s="112">
        <f>B16</f>
        <v/>
      </c>
      <c r="C42" s="113">
        <f>C41*1.03</f>
        <v/>
      </c>
      <c r="D42" s="114">
        <f>B42*C42</f>
        <v/>
      </c>
      <c r="E42" s="112">
        <f>B42</f>
        <v/>
      </c>
      <c r="F42" s="113">
        <f>F41*1.03</f>
        <v/>
      </c>
      <c r="G42" s="114">
        <f>E42*F42</f>
        <v/>
      </c>
    </row>
    <row r="43">
      <c r="A43" s="108" t="n">
        <v>14</v>
      </c>
      <c r="B43" s="112">
        <f>B17</f>
        <v/>
      </c>
      <c r="C43" s="113">
        <f>C42*1.03</f>
        <v/>
      </c>
      <c r="D43" s="114">
        <f>B43*C43</f>
        <v/>
      </c>
      <c r="E43" s="112">
        <f>B43</f>
        <v/>
      </c>
      <c r="F43" s="113">
        <f>F42*1.03</f>
        <v/>
      </c>
      <c r="G43" s="114">
        <f>E43*F43</f>
        <v/>
      </c>
    </row>
    <row r="44">
      <c r="A44" s="108" t="n">
        <v>15</v>
      </c>
      <c r="B44" s="112">
        <f>B18</f>
        <v/>
      </c>
      <c r="C44" s="113">
        <f>C43*1.03</f>
        <v/>
      </c>
      <c r="D44" s="114">
        <f>B44*C44</f>
        <v/>
      </c>
      <c r="E44" s="112">
        <f>B44</f>
        <v/>
      </c>
      <c r="F44" s="113">
        <f>F43*1.03</f>
        <v/>
      </c>
      <c r="G44" s="114">
        <f>E44*F44</f>
        <v/>
      </c>
    </row>
    <row r="45">
      <c r="A45" s="108" t="n">
        <v>16</v>
      </c>
      <c r="B45" s="112">
        <f>B19</f>
        <v/>
      </c>
      <c r="C45" s="113">
        <f>C44*1.03</f>
        <v/>
      </c>
      <c r="D45" s="114">
        <f>B45*C45</f>
        <v/>
      </c>
      <c r="E45" s="112">
        <f>B45</f>
        <v/>
      </c>
      <c r="F45" s="113">
        <f>F44*1.03</f>
        <v/>
      </c>
      <c r="G45" s="114">
        <f>E45*F45</f>
        <v/>
      </c>
    </row>
    <row r="46">
      <c r="A46" s="108" t="n">
        <v>17</v>
      </c>
      <c r="B46" s="112">
        <f>B20</f>
        <v/>
      </c>
      <c r="C46" s="113">
        <f>C45*1.03</f>
        <v/>
      </c>
      <c r="D46" s="114">
        <f>B46*C46</f>
        <v/>
      </c>
      <c r="E46" s="112">
        <f>B46</f>
        <v/>
      </c>
      <c r="F46" s="113">
        <f>F45*1.03</f>
        <v/>
      </c>
      <c r="G46" s="114">
        <f>E46*F46</f>
        <v/>
      </c>
    </row>
    <row r="47">
      <c r="A47" s="108" t="n">
        <v>18</v>
      </c>
      <c r="B47" s="112">
        <f>B21</f>
        <v/>
      </c>
      <c r="C47" s="113">
        <f>C46*1.03</f>
        <v/>
      </c>
      <c r="D47" s="114">
        <f>B47*C47</f>
        <v/>
      </c>
      <c r="E47" s="112">
        <f>B47</f>
        <v/>
      </c>
      <c r="F47" s="113">
        <f>F46*1.03</f>
        <v/>
      </c>
      <c r="G47" s="114">
        <f>E47*F47</f>
        <v/>
      </c>
    </row>
    <row r="48">
      <c r="A48" s="108" t="n">
        <v>19</v>
      </c>
      <c r="B48" s="112">
        <f>B22</f>
        <v/>
      </c>
      <c r="C48" s="113">
        <f>C47*1.03</f>
        <v/>
      </c>
      <c r="D48" s="114">
        <f>B48*C48</f>
        <v/>
      </c>
      <c r="E48" s="112">
        <f>B48</f>
        <v/>
      </c>
      <c r="F48" s="113">
        <f>F47*1.03</f>
        <v/>
      </c>
      <c r="G48" s="114">
        <f>E48*F48</f>
        <v/>
      </c>
    </row>
    <row r="49">
      <c r="A49" s="109" t="n">
        <v>20</v>
      </c>
      <c r="B49" s="112">
        <f>B23</f>
        <v/>
      </c>
      <c r="C49" s="113">
        <f>C48*1.03</f>
        <v/>
      </c>
      <c r="D49" s="114">
        <f>B49*C49</f>
        <v/>
      </c>
      <c r="E49" s="112">
        <f>B49</f>
        <v/>
      </c>
      <c r="F49" s="113">
        <f>F48*1.03</f>
        <v/>
      </c>
      <c r="G49" s="114">
        <f>E49*F49</f>
        <v/>
      </c>
    </row>
    <row r="50">
      <c r="A50" s="110" t="n"/>
      <c r="B50" s="98">
        <f>SUM(B29:B49)</f>
        <v/>
      </c>
      <c r="C50" s="100" t="n"/>
      <c r="D50" s="115">
        <f>+SUM(D30:D49)</f>
        <v/>
      </c>
      <c r="E50" s="116">
        <f>SUM(E30:E49)</f>
        <v/>
      </c>
      <c r="F50" s="101" t="n"/>
      <c r="G50" s="117">
        <f>SUM(G30:G49)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2" topLeftCell="A3" activePane="bottomLeft" state="frozen"/>
      <selection pane="bottomLeft" activeCell="E26" sqref="E26"/>
    </sheetView>
  </sheetViews>
  <sheetFormatPr baseColWidth="8" defaultRowHeight="15"/>
  <cols>
    <col width="38" customWidth="1" style="21" min="1" max="1"/>
    <col width="24" customWidth="1" style="21" min="2" max="8"/>
  </cols>
  <sheetData>
    <row r="1">
      <c r="A1" s="20" t="inlineStr">
        <is>
          <t>Sensitivity: Tariff vs Solar LCOE</t>
        </is>
      </c>
    </row>
    <row r="3">
      <c r="A3" s="22" t="inlineStr">
        <is>
          <t>Values show Year 1 benefit: Year 1 energy × (grid tariff - solar LCOE)</t>
        </is>
      </c>
    </row>
    <row r="5">
      <c r="A5" s="22" t="inlineStr">
        <is>
          <t>Grid tariff / Solar LCOE</t>
        </is>
      </c>
      <c r="B5" s="18" t="n">
        <v>0.8</v>
      </c>
      <c r="C5" s="18" t="n">
        <v>1</v>
      </c>
      <c r="D5" s="18" t="n">
        <v>1.2</v>
      </c>
      <c r="E5" s="18" t="n">
        <v>1.4</v>
      </c>
      <c r="F5" s="18" t="n">
        <v>1.6</v>
      </c>
      <c r="G5" s="18" t="n">
        <v>1.8</v>
      </c>
      <c r="H5" s="18" t="n">
        <v>2</v>
      </c>
    </row>
    <row r="6">
      <c r="A6" s="18" t="n">
        <v>1.5</v>
      </c>
      <c r="B6" s="3">
        <f>Inputs!$B$34*($A6-B$5)</f>
        <v/>
      </c>
      <c r="C6" s="3">
        <f>Inputs!$B$34*($A6-C$5)</f>
        <v/>
      </c>
      <c r="D6" s="3">
        <f>Inputs!$B$34*($A6-D$5)</f>
        <v/>
      </c>
      <c r="E6" s="3">
        <f>Inputs!$B$34*($A6-E$5)</f>
        <v/>
      </c>
      <c r="F6" s="3">
        <f>Inputs!$B$34*($A6-F$5)</f>
        <v/>
      </c>
      <c r="G6" s="3">
        <f>Inputs!$B$34*($A6-G$5)</f>
        <v/>
      </c>
      <c r="H6" s="3">
        <f>Inputs!$B$34*($A6-H$5)</f>
        <v/>
      </c>
    </row>
    <row r="7">
      <c r="A7" s="18" t="n">
        <v>2</v>
      </c>
      <c r="B7" s="3">
        <f>Inputs!$B$34*($A7-B$5)</f>
        <v/>
      </c>
      <c r="C7" s="3">
        <f>Inputs!$B$34*($A7-C$5)</f>
        <v/>
      </c>
      <c r="D7" s="3">
        <f>Inputs!$B$34*($A7-D$5)</f>
        <v/>
      </c>
      <c r="E7" s="3">
        <f>Inputs!$B$34*($A7-E$5)</f>
        <v/>
      </c>
      <c r="F7" s="3">
        <f>Inputs!$B$34*($A7-F$5)</f>
        <v/>
      </c>
      <c r="G7" s="3">
        <f>Inputs!$B$34*($A7-G$5)</f>
        <v/>
      </c>
      <c r="H7" s="3">
        <f>Inputs!$B$34*($A7-H$5)</f>
        <v/>
      </c>
    </row>
    <row r="8">
      <c r="A8" s="18" t="n">
        <v>2.5</v>
      </c>
      <c r="B8" s="3">
        <f>Inputs!$B$34*($A8-B$5)</f>
        <v/>
      </c>
      <c r="C8" s="3">
        <f>Inputs!$B$34*($A8-C$5)</f>
        <v/>
      </c>
      <c r="D8" s="3">
        <f>Inputs!$B$34*($A8-D$5)</f>
        <v/>
      </c>
      <c r="E8" s="3">
        <f>Inputs!$B$34*($A8-E$5)</f>
        <v/>
      </c>
      <c r="F8" s="3">
        <f>Inputs!$B$34*($A8-F$5)</f>
        <v/>
      </c>
      <c r="G8" s="3">
        <f>Inputs!$B$34*($A8-G$5)</f>
        <v/>
      </c>
      <c r="H8" s="3">
        <f>Inputs!$B$34*($A8-H$5)</f>
        <v/>
      </c>
    </row>
    <row r="9">
      <c r="A9" s="18" t="n">
        <v>3</v>
      </c>
      <c r="B9" s="3">
        <f>Inputs!$B$34*($A9-B$5)</f>
        <v/>
      </c>
      <c r="C9" s="3">
        <f>Inputs!$B$34*($A9-C$5)</f>
        <v/>
      </c>
      <c r="D9" s="3">
        <f>Inputs!$B$34*($A9-D$5)</f>
        <v/>
      </c>
      <c r="E9" s="3">
        <f>Inputs!$B$34*($A9-E$5)</f>
        <v/>
      </c>
      <c r="F9" s="3">
        <f>Inputs!$B$34*($A9-F$5)</f>
        <v/>
      </c>
      <c r="G9" s="3">
        <f>Inputs!$B$34*($A9-G$5)</f>
        <v/>
      </c>
      <c r="H9" s="3">
        <f>Inputs!$B$34*($A9-H$5)</f>
        <v/>
      </c>
    </row>
    <row r="10">
      <c r="A10" s="18" t="n">
        <v>3.5</v>
      </c>
      <c r="B10" s="3">
        <f>Inputs!$B$34*($A10-B$5)</f>
        <v/>
      </c>
      <c r="C10" s="3">
        <f>Inputs!$B$34*($A10-C$5)</f>
        <v/>
      </c>
      <c r="D10" s="3">
        <f>Inputs!$B$34*($A10-D$5)</f>
        <v/>
      </c>
      <c r="E10" s="3">
        <f>Inputs!$B$34*($A10-E$5)</f>
        <v/>
      </c>
      <c r="F10" s="3">
        <f>Inputs!$B$34*($A10-F$5)</f>
        <v/>
      </c>
      <c r="G10" s="3">
        <f>Inputs!$B$34*($A10-G$5)</f>
        <v/>
      </c>
      <c r="H10" s="3">
        <f>Inputs!$B$34*($A10-H$5)</f>
        <v/>
      </c>
    </row>
    <row r="11">
      <c r="A11" s="18" t="n">
        <v>4</v>
      </c>
      <c r="B11" s="3">
        <f>Inputs!$B$34*($A11-B$5)</f>
        <v/>
      </c>
      <c r="C11" s="3">
        <f>Inputs!$B$34*($A11-C$5)</f>
        <v/>
      </c>
      <c r="D11" s="3">
        <f>Inputs!$B$34*($A11-D$5)</f>
        <v/>
      </c>
      <c r="E11" s="3">
        <f>Inputs!$B$34*($A11-E$5)</f>
        <v/>
      </c>
      <c r="F11" s="3">
        <f>Inputs!$B$34*($A11-F$5)</f>
        <v/>
      </c>
      <c r="G11" s="3">
        <f>Inputs!$B$34*($A11-G$5)</f>
        <v/>
      </c>
      <c r="H11" s="3">
        <f>Inputs!$B$34*($A11-H$5)</f>
        <v/>
      </c>
    </row>
    <row r="15">
      <c r="A15" s="7" t="inlineStr">
        <is>
          <t>Scenario</t>
        </is>
      </c>
      <c r="B15" s="7" t="inlineStr">
        <is>
          <t>Grid tariff</t>
        </is>
      </c>
      <c r="C15" s="7" t="inlineStr">
        <is>
          <t>Solar LCOE</t>
        </is>
      </c>
      <c r="D15" s="7" t="inlineStr">
        <is>
          <t>Difference</t>
        </is>
      </c>
      <c r="E15" s="7" t="inlineStr">
        <is>
          <t>Year 1 energy</t>
        </is>
      </c>
      <c r="F15" s="7" t="inlineStr">
        <is>
          <t>Year 1 benefit</t>
        </is>
      </c>
    </row>
    <row r="16">
      <c r="A16" s="2" t="inlineStr">
        <is>
          <t>Current model</t>
        </is>
      </c>
      <c r="B16" s="14">
        <f>Inputs!B15</f>
        <v/>
      </c>
      <c r="C16" s="14">
        <f>'Cash Flow'!L6</f>
        <v/>
      </c>
      <c r="D16" s="14">
        <f>B16-C16</f>
        <v/>
      </c>
      <c r="E16" s="13">
        <f>Inputs!B34</f>
        <v/>
      </c>
      <c r="F16" s="15">
        <f>D16*E16</f>
        <v/>
      </c>
    </row>
    <row r="17">
      <c r="A17" s="2" t="inlineStr">
        <is>
          <t>Low grid tariff</t>
        </is>
      </c>
      <c r="B17" s="14" t="n">
        <v>2</v>
      </c>
      <c r="C17" s="14">
        <f>'Cash Flow'!L6</f>
        <v/>
      </c>
      <c r="D17" s="14">
        <f>B17-C17</f>
        <v/>
      </c>
      <c r="E17" s="13">
        <f>Inputs!B34</f>
        <v/>
      </c>
      <c r="F17" s="15">
        <f>D17*E17</f>
        <v/>
      </c>
    </row>
    <row r="18">
      <c r="A18" s="2" t="inlineStr">
        <is>
          <t>High grid tariff</t>
        </is>
      </c>
      <c r="B18" s="14" t="n">
        <v>3</v>
      </c>
      <c r="C18" s="14">
        <f>'Cash Flow'!L6</f>
        <v/>
      </c>
      <c r="D18" s="14">
        <f>B18-C18</f>
        <v/>
      </c>
      <c r="E18" s="13">
        <f>Inputs!B34</f>
        <v/>
      </c>
      <c r="F18" s="15">
        <f>D18*E18</f>
        <v/>
      </c>
    </row>
    <row r="19">
      <c r="A19" s="2" t="inlineStr">
        <is>
          <t>Low solar LCOE</t>
        </is>
      </c>
      <c r="B19" s="14">
        <f>Inputs!B15</f>
        <v/>
      </c>
      <c r="C19" s="14" t="n">
        <v>1</v>
      </c>
      <c r="D19" s="14">
        <f>B19-C19</f>
        <v/>
      </c>
      <c r="E19" s="13">
        <f>Inputs!B34</f>
        <v/>
      </c>
      <c r="F19" s="15">
        <f>D19*E19</f>
        <v/>
      </c>
    </row>
    <row r="20">
      <c r="A20" s="2" t="inlineStr">
        <is>
          <t>High solar LCOE</t>
        </is>
      </c>
      <c r="B20" s="14">
        <f>Inputs!B15</f>
        <v/>
      </c>
      <c r="C20" s="14" t="n">
        <v>1.8</v>
      </c>
      <c r="D20" s="14">
        <f>B20-C20</f>
        <v/>
      </c>
      <c r="E20" s="13">
        <f>Inputs!B34</f>
        <v/>
      </c>
      <c r="F20" s="15">
        <f>D20*E20</f>
        <v/>
      </c>
    </row>
    <row r="27">
      <c r="D27" t="inlineStr">
        <is>
          <t>``</t>
        </is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2" topLeftCell="A3" activePane="bottomLeft" state="frozen"/>
      <selection pane="bottomLeft" activeCell="A1" sqref="A1:C1"/>
    </sheetView>
  </sheetViews>
  <sheetFormatPr baseColWidth="8" defaultRowHeight="15"/>
  <cols>
    <col width="21" customWidth="1" style="21" min="1" max="1"/>
    <col width="16" customWidth="1" style="21" min="2" max="2"/>
    <col width="14" customWidth="1" style="21" min="3" max="3"/>
  </cols>
  <sheetData>
    <row r="1">
      <c r="A1" s="20" t="inlineStr">
        <is>
          <t>Region Yield Lookup</t>
        </is>
      </c>
    </row>
    <row r="2">
      <c r="A2" s="1" t="inlineStr">
        <is>
          <t>Region</t>
        </is>
      </c>
      <c r="B2" s="1" t="inlineStr">
        <is>
          <t>Specific yield</t>
        </is>
      </c>
      <c r="C2" s="1" t="inlineStr">
        <is>
          <t>Unit</t>
        </is>
      </c>
    </row>
    <row r="3" ht="30" customHeight="1" s="21">
      <c r="A3" s="2" t="inlineStr">
        <is>
          <t>Coastal</t>
        </is>
      </c>
      <c r="B3" s="8" t="n">
        <v>1600</v>
      </c>
      <c r="C3" s="2" t="inlineStr">
        <is>
          <t>kWh/kWp/year</t>
        </is>
      </c>
    </row>
    <row r="4" ht="30" customHeight="1" s="21">
      <c r="A4" s="2" t="inlineStr">
        <is>
          <t>North</t>
        </is>
      </c>
      <c r="B4" s="8" t="n">
        <v>1850</v>
      </c>
      <c r="C4" s="2" t="inlineStr">
        <is>
          <t>kWh/kWp/year</t>
        </is>
      </c>
    </row>
    <row r="5" ht="30" customHeight="1" s="21">
      <c r="A5" s="2" t="inlineStr">
        <is>
          <t>South</t>
        </is>
      </c>
      <c r="B5" s="8" t="n">
        <v>2000</v>
      </c>
      <c r="C5" s="2" t="inlineStr">
        <is>
          <t>kWh/kWp/year</t>
        </is>
      </c>
    </row>
    <row r="6" ht="30" customHeight="1" s="21">
      <c r="A6" s="2" t="inlineStr">
        <is>
          <t>Central</t>
        </is>
      </c>
      <c r="B6" s="8" t="n">
        <v>1900</v>
      </c>
      <c r="C6" s="2" t="inlineStr">
        <is>
          <t>kWh/kWp/year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2026-06-19T12:25:17Z</dcterms:created>
  <dcterms:modified xsi:type="dcterms:W3CDTF">2026-06-22T10:05:29Z</dcterms:modified>
  <cp:lastModifiedBy>Nelson  Tjombonde | emcon</cp:lastModifiedBy>
</cp:coreProperties>
</file>